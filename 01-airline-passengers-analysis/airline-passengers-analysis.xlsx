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ina5\Python\portfolio\1 air\"/>
    </mc:Choice>
  </mc:AlternateContent>
  <xr:revisionPtr revIDLastSave="0" documentId="13_ncr:1_{15A69D29-6389-4452-AF95-10A04B6FAD08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Регрессия" sheetId="11" r:id="rId1"/>
    <sheet name="Данные" sheetId="1" r:id="rId2"/>
    <sheet name="Гипотезы" sheetId="14" r:id="rId3"/>
    <sheet name="Цель полета" sheetId="10" r:id="rId4"/>
    <sheet name="Пол - Цель" sheetId="4" r:id="rId5"/>
    <sheet name="Пол - Характеристика" sheetId="5" r:id="rId6"/>
    <sheet name="Цель - Характеристика" sheetId="6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1" l="1"/>
  <c r="I76" i="1"/>
  <c r="J60" i="1"/>
  <c r="L31" i="14"/>
  <c r="L27" i="14"/>
  <c r="L28" i="14" s="1"/>
  <c r="L15" i="14"/>
  <c r="F32" i="14"/>
  <c r="F15" i="14"/>
  <c r="H26" i="14"/>
  <c r="F26" i="14"/>
  <c r="G10" i="14"/>
  <c r="L26" i="14"/>
  <c r="F10" i="14"/>
  <c r="F9" i="14"/>
  <c r="G26" i="14"/>
  <c r="M9" i="14"/>
  <c r="L9" i="14"/>
  <c r="H27" i="14"/>
  <c r="G9" i="14"/>
  <c r="N10" i="14"/>
  <c r="F27" i="14"/>
  <c r="L25" i="14"/>
  <c r="M10" i="14"/>
  <c r="N9" i="14"/>
  <c r="L10" i="14"/>
  <c r="G27" i="14"/>
  <c r="L29" i="14" l="1"/>
  <c r="L30" i="14" s="1"/>
  <c r="F11" i="14"/>
  <c r="F13" i="14" s="1"/>
  <c r="F28" i="14"/>
  <c r="F30" i="14" s="1"/>
  <c r="L11" i="14"/>
  <c r="L13" i="14" s="1"/>
  <c r="U21" i="1" l="1"/>
  <c r="U20" i="1"/>
  <c r="U19" i="1"/>
  <c r="U18" i="1"/>
  <c r="U17" i="1"/>
  <c r="J4" i="1"/>
  <c r="I74" i="1"/>
  <c r="M74" i="1" s="1"/>
  <c r="I72" i="1"/>
  <c r="M72" i="1" s="1"/>
  <c r="O75" i="1"/>
  <c r="Q64" i="1"/>
  <c r="M73" i="1"/>
  <c r="K61" i="1"/>
  <c r="J61" i="1"/>
  <c r="I73" i="1" s="1"/>
  <c r="I63" i="1"/>
  <c r="Q63" i="1" s="1"/>
  <c r="L60" i="1"/>
  <c r="I65" i="1" s="1"/>
  <c r="Q65" i="1" s="1"/>
  <c r="L59" i="1"/>
  <c r="I64" i="1" s="1"/>
  <c r="K59" i="1"/>
  <c r="AE22" i="1"/>
  <c r="AE21" i="1"/>
  <c r="AE20" i="1"/>
  <c r="AE17" i="1"/>
  <c r="O4" i="1"/>
  <c r="O3" i="1"/>
  <c r="O16" i="1"/>
  <c r="O15" i="1"/>
  <c r="O14" i="1"/>
  <c r="O13" i="1"/>
  <c r="O12" i="1"/>
  <c r="O11" i="1"/>
  <c r="O10" i="1"/>
  <c r="O9" i="1"/>
  <c r="O8" i="1"/>
  <c r="O7" i="1"/>
  <c r="O6" i="1"/>
  <c r="O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N3" i="1" a="1"/>
  <c r="N3" i="1" s="1"/>
  <c r="P3" i="1" s="1"/>
  <c r="I3" i="1" a="1"/>
  <c r="I3" i="1" s="1"/>
  <c r="K3" i="1" s="1"/>
  <c r="B13" i="10"/>
  <c r="E5" i="10"/>
  <c r="E4" i="10"/>
  <c r="G9" i="10"/>
  <c r="N68" i="1" l="1"/>
  <c r="N69" i="1"/>
  <c r="N67" i="1"/>
  <c r="N72" i="1"/>
  <c r="AE18" i="1"/>
  <c r="N73" i="1"/>
  <c r="N74" i="1"/>
  <c r="B19" i="10"/>
  <c r="C22" i="10" s="1"/>
  <c r="D14" i="10"/>
  <c r="G10" i="10"/>
  <c r="E12" i="10" s="1"/>
  <c r="F14" i="10" s="1"/>
  <c r="O17" i="1"/>
  <c r="J18" i="1"/>
  <c r="A22" i="10"/>
  <c r="Q3" i="1"/>
  <c r="N14" i="1"/>
  <c r="P14" i="1" s="1"/>
  <c r="N13" i="1"/>
  <c r="P13" i="1" s="1"/>
  <c r="N12" i="1"/>
  <c r="P12" i="1" s="1"/>
  <c r="N11" i="1"/>
  <c r="P11" i="1" s="1"/>
  <c r="N10" i="1"/>
  <c r="P10" i="1" s="1"/>
  <c r="N9" i="1"/>
  <c r="P9" i="1" s="1"/>
  <c r="N8" i="1"/>
  <c r="P8" i="1" s="1"/>
  <c r="N7" i="1"/>
  <c r="P7" i="1" s="1"/>
  <c r="N6" i="1"/>
  <c r="P6" i="1" s="1"/>
  <c r="N5" i="1"/>
  <c r="P5" i="1" s="1"/>
  <c r="N16" i="1"/>
  <c r="P16" i="1" s="1"/>
  <c r="N4" i="1"/>
  <c r="Q5" i="1" s="1"/>
  <c r="N15" i="1"/>
  <c r="P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17" i="1"/>
  <c r="K17" i="1" s="1"/>
  <c r="I5" i="1"/>
  <c r="K5" i="1" s="1"/>
  <c r="I16" i="1"/>
  <c r="K16" i="1" s="1"/>
  <c r="I4" i="1"/>
  <c r="T16" i="1" s="1"/>
  <c r="I15" i="1"/>
  <c r="K15" i="1" s="1"/>
  <c r="G4" i="10"/>
  <c r="F5" i="10"/>
  <c r="F4" i="10"/>
  <c r="A16" i="10"/>
  <c r="G5" i="10"/>
  <c r="A15" i="10"/>
  <c r="Q4" i="1" l="1"/>
  <c r="Q7" i="1"/>
  <c r="Q8" i="1"/>
  <c r="E15" i="10"/>
  <c r="D15" i="10"/>
  <c r="A23" i="10"/>
  <c r="B23" i="10"/>
  <c r="Q14" i="1"/>
  <c r="Q13" i="1"/>
  <c r="Q12" i="1"/>
  <c r="Q10" i="1"/>
  <c r="N17" i="1"/>
  <c r="Q11" i="1"/>
  <c r="AD16" i="1"/>
  <c r="Q16" i="1"/>
  <c r="Q9" i="1"/>
  <c r="Q15" i="1"/>
  <c r="Q6" i="1"/>
  <c r="P4" i="1"/>
  <c r="P17" i="1" s="1"/>
  <c r="I18" i="1"/>
  <c r="K4" i="1"/>
  <c r="K18" i="1" s="1"/>
  <c r="AD23" i="1" l="1"/>
</calcChain>
</file>

<file path=xl/sharedStrings.xml><?xml version="1.0" encoding="utf-8"?>
<sst xmlns="http://schemas.openxmlformats.org/spreadsheetml/2006/main" count="919" uniqueCount="174">
  <si>
    <t>пол</t>
  </si>
  <si>
    <t>цель полета</t>
  </si>
  <si>
    <t>самая важная характеристика</t>
  </si>
  <si>
    <t>возраст</t>
  </si>
  <si>
    <t>мужчина</t>
  </si>
  <si>
    <t>бизнес</t>
  </si>
  <si>
    <t>частота рейсов</t>
  </si>
  <si>
    <t>комфорт</t>
  </si>
  <si>
    <t>личные цели</t>
  </si>
  <si>
    <t>точность</t>
  </si>
  <si>
    <t>женщина</t>
  </si>
  <si>
    <t>годовой доход, тыс. руб.</t>
  </si>
  <si>
    <t>Количество полетов за последний год</t>
  </si>
  <si>
    <t>Названия строк</t>
  </si>
  <si>
    <t>Общий итог</t>
  </si>
  <si>
    <t>Названия столбцов</t>
  </si>
  <si>
    <t>частота</t>
  </si>
  <si>
    <t>всего</t>
  </si>
  <si>
    <t>годовой доход</t>
  </si>
  <si>
    <t>Количество по полю пол</t>
  </si>
  <si>
    <t>средняя точка интервала</t>
  </si>
  <si>
    <t>относительная частота</t>
  </si>
  <si>
    <t>границы интервала</t>
  </si>
  <si>
    <t>кумулятивная частота</t>
  </si>
  <si>
    <t>Асимметрия =</t>
  </si>
  <si>
    <t>пао модулю &lt;1, значит симметрична, как и предполагалось</t>
  </si>
  <si>
    <t>Среднее арифметическое</t>
  </si>
  <si>
    <t>Стандартное отклонение</t>
  </si>
  <si>
    <t>Медиана</t>
  </si>
  <si>
    <t>Межквартильный размах</t>
  </si>
  <si>
    <t>Нижний квартиль (Q1)</t>
  </si>
  <si>
    <t>Верхний квартиль (Q3)</t>
  </si>
  <si>
    <t>Мода</t>
  </si>
  <si>
    <t>Размах</t>
  </si>
  <si>
    <t>Дисперсия</t>
  </si>
  <si>
    <t>Нижняя граница</t>
  </si>
  <si>
    <t>Верхняя граница</t>
  </si>
  <si>
    <t>p^ = 50/200=0.25</t>
  </si>
  <si>
    <t>Проверим применимость нормального приближения</t>
  </si>
  <si>
    <t>&gt;5</t>
  </si>
  <si>
    <t>n p &gt; 5</t>
  </si>
  <si>
    <t xml:space="preserve">n (1- p) &gt; 5 </t>
  </si>
  <si>
    <t>Вычислим стандартную ошибку</t>
  </si>
  <si>
    <t>Условие выполнено, размер выборки достаточен.</t>
  </si>
  <si>
    <t>SE</t>
  </si>
  <si>
    <t>Доля</t>
  </si>
  <si>
    <t>Размер</t>
  </si>
  <si>
    <t>Параметры совокупности</t>
  </si>
  <si>
    <t>Статистики выборки</t>
  </si>
  <si>
    <t>μ</t>
  </si>
  <si>
    <t>σ</t>
  </si>
  <si>
    <t>р</t>
  </si>
  <si>
    <t>N</t>
  </si>
  <si>
    <t>х</t>
  </si>
  <si>
    <t>s</t>
  </si>
  <si>
    <t>n</t>
  </si>
  <si>
    <t>SE=корень(p(1-p)/n\)</t>
  </si>
  <si>
    <t>z 0,025=</t>
  </si>
  <si>
    <t>Выборка(n)</t>
  </si>
  <si>
    <t>Среднее(x)</t>
  </si>
  <si>
    <t>Станд. откл.(s)</t>
  </si>
  <si>
    <t>Доверит. Стьюдент</t>
  </si>
  <si>
    <t>α- уровень значимости, равный (100 - 95 ) / 100 =0.05 для 95%</t>
  </si>
  <si>
    <t>Для нашей задачи требуется коэффициент Стьюдента с индексами t 0.05/2 (200-1) =</t>
  </si>
  <si>
    <t xml:space="preserve"> t 0.025; 199 .</t>
  </si>
  <si>
    <t>дов инт =</t>
  </si>
  <si>
    <t>"+-"</t>
  </si>
  <si>
    <t>Доля женщин с личными целями</t>
  </si>
  <si>
    <t>Задание 9 Выборочная доля женщин</t>
  </si>
  <si>
    <t>полуширина</t>
  </si>
  <si>
    <t>Задание 9 доля женщин</t>
  </si>
  <si>
    <t>доход</t>
  </si>
  <si>
    <t>полеты</t>
  </si>
  <si>
    <t>Корреляция между числом полетов и возрастом пассажира</t>
  </si>
  <si>
    <t>Корреляция между  числом полетов и доходом пассажира</t>
  </si>
  <si>
    <t>Корреляция между  возрастом пассажира и доходом пассажира</t>
  </si>
  <si>
    <t>Зависимость числа полетов от возраста по форме напоминает случайное рассеяние</t>
  </si>
  <si>
    <t>Для зависимости числа полетов от годового дохода видна сильная линейная связь, положительный градиент</t>
  </si>
  <si>
    <t>Таблица корреляций Пирсона</t>
  </si>
  <si>
    <t>t возраст полеты</t>
  </si>
  <si>
    <t>t возраст доход</t>
  </si>
  <si>
    <t>t доход полеты</t>
  </si>
  <si>
    <t>p знач</t>
  </si>
  <si>
    <t>r</t>
  </si>
  <si>
    <t>коэффициент детерминации</t>
  </si>
  <si>
    <t>r^2</t>
  </si>
  <si>
    <t>t</t>
  </si>
  <si>
    <t>Если ∣t∣&gt;1,972, то коэффицент значим.</t>
  </si>
  <si>
    <t>Крит. Знач =</t>
  </si>
  <si>
    <t>=</t>
  </si>
  <si>
    <t>Вычислим критич. значение для 95% довер. Инт.</t>
  </si>
  <si>
    <t>из всех 3 значений подходит только t для доход полеты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</si>
  <si>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</si>
  <si>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</si>
  <si>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</si>
  <si>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</si>
  <si>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</si>
  <si>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</si>
  <si>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</si>
  <si>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</si>
  <si>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</si>
  <si>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</si>
  <si>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</si>
  <si>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</si>
  <si>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</si>
  <si>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</si>
  <si>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</si>
  <si>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</si>
  <si>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</si>
  <si>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</si>
  <si>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</si>
  <si>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</si>
  <si>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</si>
  <si>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</si>
  <si>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</si>
  <si>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</si>
  <si>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</si>
  <si>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</si>
  <si>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Предсказанное Количество полетов за последний год</t>
  </si>
  <si>
    <t>Остатки</t>
  </si>
  <si>
    <t>Количество человек</t>
  </si>
  <si>
    <t>Визуально гистограмму возраста можно назвать симметричной, но ситуация неоднозначна</t>
  </si>
  <si>
    <t>Проведем расчеты</t>
  </si>
  <si>
    <t>по модулю &gt;1, значит асимметрична, что и было сказано</t>
  </si>
  <si>
    <t>Для гистограммы дохода отчетливо видно левосторонняя(отрицательная) асимметрия.</t>
  </si>
  <si>
    <t>Двухвыборочный t-тест с различными дисперсиями</t>
  </si>
  <si>
    <t>Переменная 1</t>
  </si>
  <si>
    <t>Переменная 2</t>
  </si>
  <si>
    <t>Среднее</t>
  </si>
  <si>
    <t>Гипотетическая разность средних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</si>
  <si>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</si>
  <si>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</si>
  <si>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</si>
  <si>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</si>
  <si>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Двухвыборочный t-тест с одинаковыми дисперсиями</t>
  </si>
  <si>
    <t>Объединенная дисперсия</t>
  </si>
  <si>
    <t>Личные цели</t>
  </si>
  <si>
    <t>Бизнес</t>
  </si>
  <si>
    <t>Женщины</t>
  </si>
  <si>
    <t>Мужчины</t>
  </si>
  <si>
    <t>Рассчитаем ожидаемые частоты</t>
  </si>
  <si>
    <t>Наблюдаемые частоты</t>
  </si>
  <si>
    <t xml:space="preserve">р-значение = </t>
  </si>
  <si>
    <t>так как p-значение  больше уровня значимости 0,496 &gt; 0,05, нулевая гипотеза принимается.</t>
  </si>
  <si>
    <t xml:space="preserve">проверочная статистика χ2 = </t>
  </si>
  <si>
    <t>крит значение =</t>
  </si>
  <si>
    <t xml:space="preserve">α = </t>
  </si>
  <si>
    <t>Получается что χ2 &lt; t крит, а значит что принимаем нулевую гипотезу Н0</t>
  </si>
  <si>
    <t>так как p-значение  меньше уровня значимости 0,001 &gt; 0,05, нулевая гипотеза не принимается.</t>
  </si>
  <si>
    <t>Получается что χ2 &gt; t крит, а значит что отвергаем нулевую гипотезу Н0</t>
  </si>
  <si>
    <t>так как p-значение  больше уровня значимости 0,356 &gt; 0,05, нулевая гипотеза принимается.</t>
  </si>
  <si>
    <t>Всего</t>
  </si>
  <si>
    <t>Доли</t>
  </si>
  <si>
    <t>Объединённая доля</t>
  </si>
  <si>
    <t>Станд. Ошибка</t>
  </si>
  <si>
    <t>z-статистика</t>
  </si>
  <si>
    <t>p-значение</t>
  </si>
  <si>
    <t>Критическое значение</t>
  </si>
  <si>
    <t>Вероятность</t>
  </si>
  <si>
    <t>&lt; 0.05</t>
  </si>
  <si>
    <t>&gt;</t>
  </si>
  <si>
    <t>Значит отвергаем H0</t>
  </si>
  <si>
    <t>возраст полеты</t>
  </si>
  <si>
    <t>доход полеты</t>
  </si>
  <si>
    <t>возраст доход</t>
  </si>
  <si>
    <t>критерий</t>
  </si>
  <si>
    <t>зависимая переменная Y – число полётов за последний год.</t>
  </si>
  <si>
    <t>Линия регрессии по выборочным данным имеет вид ŷ = a + b x</t>
  </si>
  <si>
    <r>
      <t xml:space="preserve">ŷ – оценка значения переменной y a – оценка параметра </t>
    </r>
    <r>
      <rPr>
        <sz val="11"/>
        <color theme="1"/>
        <rFont val="Calibri"/>
        <family val="2"/>
        <charset val="204"/>
      </rPr>
      <t>α</t>
    </r>
    <r>
      <rPr>
        <sz val="11"/>
        <color theme="1"/>
        <rFont val="Calibri"/>
        <family val="2"/>
        <charset val="204"/>
        <scheme val="minor"/>
      </rPr>
      <t xml:space="preserve"> b – оценка параметра β</t>
    </r>
  </si>
  <si>
    <t>У нас получается  ŷ = -0,0921 + 0,0289x</t>
  </si>
  <si>
    <t xml:space="preserve">В качестве независимой переменной X выбран годовой доход (тыс. руб.), </t>
  </si>
  <si>
    <t>x = 32</t>
  </si>
  <si>
    <t>Доля женщин, летающих с личными целями</t>
  </si>
  <si>
    <t>Среднее число полетов по целям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</si>
</sst>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E+00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6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</cellStyleXfs>
  <cellXfs count="135">
    <xf numFmtId="0" fontId="0" fillId="0" borderId="0" xfId="0"/>
    <xf numFmtId="0" fontId="1" fillId="0" borderId="0" xfId="1"/>
    <xf numFmtId="0" fontId="2" fillId="0" borderId="0" xfId="1" applyFont="1" applyAlignment="1">
      <alignment horizontal="center" wrapText="1"/>
    </xf>
    <xf numFmtId="0" fontId="1" fillId="0" borderId="0" xfId="1" applyAlignment="1">
      <alignment horizontal="right"/>
    </xf>
    <xf numFmtId="0" fontId="1" fillId="0" borderId="0" xfId="1" applyAlignment="1">
      <alignment horizontal="left"/>
    </xf>
    <xf numFmtId="1" fontId="1" fillId="0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6" borderId="0" xfId="0" applyFill="1"/>
    <xf numFmtId="0" fontId="1" fillId="6" borderId="0" xfId="1" applyFill="1"/>
    <xf numFmtId="0" fontId="0" fillId="0" borderId="11" xfId="0" applyBorder="1"/>
    <xf numFmtId="0" fontId="6" fillId="2" borderId="6" xfId="2" applyBorder="1"/>
    <xf numFmtId="0" fontId="0" fillId="0" borderId="6" xfId="3" applyNumberFormat="1" applyFont="1" applyFill="1" applyBorder="1" applyAlignment="1" applyProtection="1"/>
    <xf numFmtId="0" fontId="5" fillId="3" borderId="6" xfId="3" applyBorder="1"/>
    <xf numFmtId="164" fontId="5" fillId="3" borderId="6" xfId="3" applyNumberFormat="1" applyBorder="1"/>
    <xf numFmtId="2" fontId="5" fillId="3" borderId="6" xfId="3" applyNumberFormat="1" applyBorder="1"/>
    <xf numFmtId="0" fontId="5" fillId="4" borderId="6" xfId="4" applyBorder="1"/>
    <xf numFmtId="0" fontId="5" fillId="4" borderId="6" xfId="4" applyBorder="1" applyAlignment="1">
      <alignment wrapText="1"/>
    </xf>
    <xf numFmtId="0" fontId="0" fillId="0" borderId="6" xfId="4" applyNumberFormat="1" applyFont="1" applyFill="1" applyBorder="1" applyAlignment="1" applyProtection="1"/>
    <xf numFmtId="164" fontId="5" fillId="4" borderId="6" xfId="4" applyNumberFormat="1" applyBorder="1"/>
    <xf numFmtId="0" fontId="5" fillId="5" borderId="6" xfId="5" applyBorder="1"/>
    <xf numFmtId="0" fontId="0" fillId="0" borderId="12" xfId="3" applyNumberFormat="1" applyFont="1" applyFill="1" applyBorder="1" applyAlignment="1" applyProtection="1"/>
    <xf numFmtId="0" fontId="0" fillId="0" borderId="13" xfId="3" applyNumberFormat="1" applyFont="1" applyFill="1" applyBorder="1" applyAlignment="1" applyProtection="1"/>
    <xf numFmtId="0" fontId="0" fillId="0" borderId="15" xfId="3" applyNumberFormat="1" applyFont="1" applyFill="1" applyBorder="1" applyAlignment="1" applyProtection="1"/>
    <xf numFmtId="0" fontId="5" fillId="3" borderId="16" xfId="3" applyBorder="1"/>
    <xf numFmtId="0" fontId="5" fillId="3" borderId="15" xfId="3" applyBorder="1"/>
    <xf numFmtId="0" fontId="5" fillId="3" borderId="15" xfId="3" applyBorder="1" applyAlignment="1">
      <alignment horizontal="left"/>
    </xf>
    <xf numFmtId="0" fontId="5" fillId="3" borderId="17" xfId="3" applyBorder="1"/>
    <xf numFmtId="0" fontId="5" fillId="3" borderId="18" xfId="3" applyBorder="1"/>
    <xf numFmtId="0" fontId="5" fillId="3" borderId="19" xfId="3" applyBorder="1"/>
    <xf numFmtId="0" fontId="5" fillId="5" borderId="13" xfId="5" applyBorder="1"/>
    <xf numFmtId="0" fontId="5" fillId="5" borderId="14" xfId="5" applyBorder="1"/>
    <xf numFmtId="0" fontId="5" fillId="5" borderId="15" xfId="5" applyBorder="1"/>
    <xf numFmtId="0" fontId="5" fillId="5" borderId="16" xfId="5" applyBorder="1"/>
    <xf numFmtId="164" fontId="5" fillId="5" borderId="15" xfId="5" applyNumberFormat="1" applyBorder="1"/>
    <xf numFmtId="0" fontId="5" fillId="5" borderId="17" xfId="5" applyBorder="1"/>
    <xf numFmtId="0" fontId="5" fillId="5" borderId="18" xfId="5" applyBorder="1"/>
    <xf numFmtId="0" fontId="5" fillId="5" borderId="19" xfId="5" applyBorder="1"/>
    <xf numFmtId="0" fontId="5" fillId="4" borderId="13" xfId="4" applyBorder="1"/>
    <xf numFmtId="0" fontId="5" fillId="4" borderId="14" xfId="4" applyBorder="1"/>
    <xf numFmtId="0" fontId="5" fillId="4" borderId="15" xfId="4" applyBorder="1" applyAlignment="1">
      <alignment wrapText="1"/>
    </xf>
    <xf numFmtId="0" fontId="5" fillId="4" borderId="16" xfId="4" applyBorder="1"/>
    <xf numFmtId="0" fontId="0" fillId="0" borderId="15" xfId="4" applyNumberFormat="1" applyFont="1" applyFill="1" applyBorder="1" applyAlignment="1" applyProtection="1"/>
    <xf numFmtId="0" fontId="5" fillId="4" borderId="16" xfId="4" applyBorder="1" applyAlignment="1">
      <alignment wrapText="1"/>
    </xf>
    <xf numFmtId="164" fontId="5" fillId="4" borderId="16" xfId="4" applyNumberFormat="1" applyBorder="1"/>
    <xf numFmtId="0" fontId="0" fillId="0" borderId="17" xfId="4" applyNumberFormat="1" applyFont="1" applyFill="1" applyBorder="1" applyAlignment="1" applyProtection="1"/>
    <xf numFmtId="0" fontId="0" fillId="0" borderId="18" xfId="4" applyNumberFormat="1" applyFont="1" applyFill="1" applyBorder="1" applyAlignment="1" applyProtection="1"/>
    <xf numFmtId="0" fontId="5" fillId="4" borderId="18" xfId="4" applyBorder="1"/>
    <xf numFmtId="0" fontId="5" fillId="4" borderId="19" xfId="4" applyBorder="1"/>
    <xf numFmtId="0" fontId="6" fillId="2" borderId="12" xfId="2" applyBorder="1"/>
    <xf numFmtId="0" fontId="6" fillId="2" borderId="13" xfId="2" applyBorder="1" applyAlignment="1">
      <alignment wrapText="1"/>
    </xf>
    <xf numFmtId="0" fontId="6" fillId="2" borderId="14" xfId="2" applyBorder="1" applyAlignment="1">
      <alignment wrapText="1"/>
    </xf>
    <xf numFmtId="0" fontId="6" fillId="2" borderId="15" xfId="2" applyBorder="1"/>
    <xf numFmtId="0" fontId="6" fillId="2" borderId="16" xfId="2" applyBorder="1"/>
    <xf numFmtId="0" fontId="6" fillId="2" borderId="17" xfId="2" applyBorder="1"/>
    <xf numFmtId="0" fontId="6" fillId="2" borderId="18" xfId="2" applyBorder="1"/>
    <xf numFmtId="0" fontId="6" fillId="2" borderId="19" xfId="2" applyBorder="1"/>
    <xf numFmtId="0" fontId="7" fillId="4" borderId="12" xfId="4" applyFont="1" applyBorder="1"/>
    <xf numFmtId="0" fontId="7" fillId="3" borderId="14" xfId="3" applyFont="1" applyBorder="1"/>
    <xf numFmtId="0" fontId="7" fillId="5" borderId="13" xfId="5" applyFont="1" applyBorder="1"/>
    <xf numFmtId="0" fontId="7" fillId="5" borderId="12" xfId="5" applyFont="1" applyBorder="1"/>
    <xf numFmtId="164" fontId="0" fillId="0" borderId="0" xfId="0" applyNumberFormat="1"/>
    <xf numFmtId="164" fontId="1" fillId="0" borderId="0" xfId="1" applyNumberFormat="1"/>
    <xf numFmtId="164" fontId="0" fillId="0" borderId="23" xfId="0" applyNumberFormat="1" applyBorder="1"/>
    <xf numFmtId="0" fontId="0" fillId="9" borderId="25" xfId="0" applyFill="1" applyBorder="1"/>
    <xf numFmtId="0" fontId="0" fillId="8" borderId="0" xfId="0" applyFill="1"/>
    <xf numFmtId="164" fontId="1" fillId="0" borderId="21" xfId="1" applyNumberFormat="1" applyBorder="1"/>
    <xf numFmtId="164" fontId="1" fillId="0" borderId="22" xfId="1" applyNumberFormat="1" applyBorder="1"/>
    <xf numFmtId="164" fontId="1" fillId="0" borderId="24" xfId="1" applyNumberFormat="1" applyBorder="1"/>
    <xf numFmtId="0" fontId="0" fillId="7" borderId="21" xfId="0" applyFill="1" applyBorder="1"/>
    <xf numFmtId="0" fontId="0" fillId="7" borderId="6" xfId="0" applyFill="1" applyBorder="1"/>
    <xf numFmtId="0" fontId="0" fillId="8" borderId="6" xfId="0" applyFill="1" applyBorder="1"/>
    <xf numFmtId="0" fontId="0" fillId="9" borderId="6" xfId="0" applyFill="1" applyBorder="1"/>
    <xf numFmtId="0" fontId="0" fillId="0" borderId="6" xfId="0" applyBorder="1"/>
    <xf numFmtId="0" fontId="0" fillId="0" borderId="20" xfId="0" applyBorder="1"/>
    <xf numFmtId="164" fontId="0" fillId="0" borderId="21" xfId="0" applyNumberFormat="1" applyBorder="1"/>
    <xf numFmtId="0" fontId="1" fillId="0" borderId="21" xfId="1" applyBorder="1"/>
    <xf numFmtId="0" fontId="0" fillId="0" borderId="22" xfId="0" applyBorder="1"/>
    <xf numFmtId="0" fontId="0" fillId="0" borderId="26" xfId="1" applyFont="1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1" xfId="0" applyBorder="1"/>
    <xf numFmtId="1" fontId="1" fillId="0" borderId="21" xfId="1" applyNumberFormat="1" applyBorder="1"/>
    <xf numFmtId="164" fontId="0" fillId="0" borderId="28" xfId="0" applyNumberFormat="1" applyBorder="1"/>
    <xf numFmtId="164" fontId="0" fillId="0" borderId="29" xfId="0" applyNumberFormat="1" applyBorder="1"/>
    <xf numFmtId="164" fontId="0" fillId="0" borderId="30" xfId="0" applyNumberFormat="1" applyBorder="1"/>
    <xf numFmtId="0" fontId="0" fillId="0" borderId="31" xfId="0" applyBorder="1"/>
    <xf numFmtId="0" fontId="9" fillId="0" borderId="32" xfId="0" applyFont="1" applyBorder="1" applyAlignment="1">
      <alignment horizontal="center"/>
    </xf>
    <xf numFmtId="0" fontId="9" fillId="0" borderId="32" xfId="0" applyFont="1" applyBorder="1" applyAlignment="1">
      <alignment horizontal="centerContinuous"/>
    </xf>
    <xf numFmtId="0" fontId="9" fillId="0" borderId="32" xfId="0" applyFont="1" applyBorder="1" applyAlignment="1">
      <alignment horizontal="center" wrapText="1"/>
    </xf>
    <xf numFmtId="2" fontId="1" fillId="0" borderId="0" xfId="1" applyNumberFormat="1"/>
    <xf numFmtId="2" fontId="0" fillId="0" borderId="0" xfId="0" applyNumberFormat="1"/>
    <xf numFmtId="0" fontId="7" fillId="11" borderId="33" xfId="0" applyFon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pivotButton="1" applyBorder="1"/>
    <xf numFmtId="0" fontId="0" fillId="0" borderId="38" xfId="0" applyBorder="1"/>
    <xf numFmtId="0" fontId="0" fillId="0" borderId="38" xfId="0" pivotButton="1" applyBorder="1"/>
    <xf numFmtId="0" fontId="0" fillId="0" borderId="37" xfId="0" applyBorder="1" applyAlignment="1">
      <alignment horizontal="left"/>
    </xf>
    <xf numFmtId="0" fontId="0" fillId="0" borderId="37" xfId="0" applyBorder="1"/>
    <xf numFmtId="0" fontId="7" fillId="11" borderId="39" xfId="0" applyFont="1" applyFill="1" applyBorder="1"/>
    <xf numFmtId="0" fontId="0" fillId="0" borderId="37" xfId="0" applyBorder="1" applyAlignment="1">
      <alignment wrapText="1"/>
    </xf>
    <xf numFmtId="0" fontId="0" fillId="0" borderId="40" xfId="0" applyBorder="1"/>
    <xf numFmtId="0" fontId="0" fillId="0" borderId="41" xfId="0" applyBorder="1"/>
    <xf numFmtId="0" fontId="9" fillId="0" borderId="44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7" fillId="11" borderId="38" xfId="0" applyFont="1" applyFill="1" applyBorder="1"/>
    <xf numFmtId="0" fontId="7" fillId="11" borderId="42" xfId="0" applyFont="1" applyFill="1" applyBorder="1"/>
    <xf numFmtId="0" fontId="7" fillId="11" borderId="43" xfId="0" applyFont="1" applyFill="1" applyBorder="1"/>
    <xf numFmtId="166" fontId="0" fillId="0" borderId="0" xfId="0" applyNumberFormat="1"/>
    <xf numFmtId="165" fontId="0" fillId="0" borderId="0" xfId="0" applyNumberFormat="1"/>
    <xf numFmtId="0" fontId="5" fillId="10" borderId="6" xfId="6" applyBorder="1"/>
    <xf numFmtId="0" fontId="5" fillId="10" borderId="25" xfId="6" applyBorder="1"/>
    <xf numFmtId="164" fontId="5" fillId="10" borderId="6" xfId="6" applyNumberFormat="1" applyBorder="1"/>
    <xf numFmtId="0" fontId="5" fillId="10" borderId="27" xfId="6" applyBorder="1"/>
    <xf numFmtId="0" fontId="5" fillId="10" borderId="46" xfId="6" applyBorder="1"/>
    <xf numFmtId="0" fontId="5" fillId="10" borderId="48" xfId="6" applyBorder="1"/>
    <xf numFmtId="167" fontId="5" fillId="10" borderId="6" xfId="6" applyNumberFormat="1" applyBorder="1"/>
    <xf numFmtId="0" fontId="6" fillId="2" borderId="0" xfId="2"/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" fontId="1" fillId="0" borderId="46" xfId="1" applyNumberFormat="1" applyBorder="1" applyAlignment="1">
      <alignment horizontal="center"/>
    </xf>
    <xf numFmtId="1" fontId="1" fillId="0" borderId="47" xfId="1" applyNumberFormat="1" applyBorder="1" applyAlignment="1">
      <alignment horizontal="center"/>
    </xf>
    <xf numFmtId="1" fontId="1" fillId="0" borderId="48" xfId="1" applyNumberFormat="1" applyBorder="1" applyAlignment="1">
      <alignment horizontal="center"/>
    </xf>
  </cellXfs>
  <cellStyles count="7">
    <cellStyle name="20% — акцент1" xfId="3" builtinId="30"/>
    <cellStyle name="20% — акцент2" xfId="4" builtinId="34"/>
    <cellStyle name="20% — акцент3" xfId="5" builtinId="38"/>
    <cellStyle name="20% — акцент6" xfId="6" builtinId="50"/>
    <cellStyle name="Нейтральный" xfId="2" builtinId="28"/>
    <cellStyle name="Обычный" xfId="0" builtinId="0"/>
    <cellStyle name="Обычный 2" xfId="1" xr:uid="{00000000-0005-0000-0000-000001000000}"/>
  </cellStyles>
  <dxfs count="6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годовой доход, тыс. руб. 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Данные!$E$2:$E$201</c:f>
              <c:numCache>
                <c:formatCode>General</c:formatCode>
                <c:ptCount val="200"/>
                <c:pt idx="0">
                  <c:v>81</c:v>
                </c:pt>
                <c:pt idx="1">
                  <c:v>108</c:v>
                </c:pt>
                <c:pt idx="2">
                  <c:v>66</c:v>
                </c:pt>
                <c:pt idx="3">
                  <c:v>180</c:v>
                </c:pt>
                <c:pt idx="4">
                  <c:v>81</c:v>
                </c:pt>
                <c:pt idx="5">
                  <c:v>72</c:v>
                </c:pt>
                <c:pt idx="6">
                  <c:v>81</c:v>
                </c:pt>
                <c:pt idx="7">
                  <c:v>93</c:v>
                </c:pt>
                <c:pt idx="8">
                  <c:v>66</c:v>
                </c:pt>
                <c:pt idx="9">
                  <c:v>81</c:v>
                </c:pt>
                <c:pt idx="10">
                  <c:v>57</c:v>
                </c:pt>
                <c:pt idx="11">
                  <c:v>54</c:v>
                </c:pt>
                <c:pt idx="12">
                  <c:v>159</c:v>
                </c:pt>
                <c:pt idx="13">
                  <c:v>54</c:v>
                </c:pt>
                <c:pt idx="14">
                  <c:v>174</c:v>
                </c:pt>
                <c:pt idx="15">
                  <c:v>267</c:v>
                </c:pt>
                <c:pt idx="16">
                  <c:v>186</c:v>
                </c:pt>
                <c:pt idx="17">
                  <c:v>267</c:v>
                </c:pt>
                <c:pt idx="18">
                  <c:v>93</c:v>
                </c:pt>
                <c:pt idx="19">
                  <c:v>108</c:v>
                </c:pt>
                <c:pt idx="20">
                  <c:v>186</c:v>
                </c:pt>
                <c:pt idx="21">
                  <c:v>57</c:v>
                </c:pt>
                <c:pt idx="22">
                  <c:v>66</c:v>
                </c:pt>
                <c:pt idx="23">
                  <c:v>99</c:v>
                </c:pt>
                <c:pt idx="24">
                  <c:v>66</c:v>
                </c:pt>
                <c:pt idx="25">
                  <c:v>108</c:v>
                </c:pt>
                <c:pt idx="26">
                  <c:v>108</c:v>
                </c:pt>
                <c:pt idx="27">
                  <c:v>81</c:v>
                </c:pt>
                <c:pt idx="28">
                  <c:v>57</c:v>
                </c:pt>
                <c:pt idx="29">
                  <c:v>108</c:v>
                </c:pt>
                <c:pt idx="30">
                  <c:v>108</c:v>
                </c:pt>
                <c:pt idx="31">
                  <c:v>108</c:v>
                </c:pt>
                <c:pt idx="32">
                  <c:v>159</c:v>
                </c:pt>
                <c:pt idx="33">
                  <c:v>57</c:v>
                </c:pt>
                <c:pt idx="34">
                  <c:v>93</c:v>
                </c:pt>
                <c:pt idx="35">
                  <c:v>93</c:v>
                </c:pt>
                <c:pt idx="36">
                  <c:v>186</c:v>
                </c:pt>
                <c:pt idx="37">
                  <c:v>174</c:v>
                </c:pt>
                <c:pt idx="38">
                  <c:v>132</c:v>
                </c:pt>
                <c:pt idx="39">
                  <c:v>81</c:v>
                </c:pt>
                <c:pt idx="40">
                  <c:v>66</c:v>
                </c:pt>
                <c:pt idx="41">
                  <c:v>159</c:v>
                </c:pt>
                <c:pt idx="42">
                  <c:v>108</c:v>
                </c:pt>
                <c:pt idx="43">
                  <c:v>54</c:v>
                </c:pt>
                <c:pt idx="44">
                  <c:v>57</c:v>
                </c:pt>
                <c:pt idx="45">
                  <c:v>54</c:v>
                </c:pt>
                <c:pt idx="46">
                  <c:v>93</c:v>
                </c:pt>
                <c:pt idx="47">
                  <c:v>159</c:v>
                </c:pt>
                <c:pt idx="48">
                  <c:v>213</c:v>
                </c:pt>
                <c:pt idx="49">
                  <c:v>81</c:v>
                </c:pt>
                <c:pt idx="50">
                  <c:v>108</c:v>
                </c:pt>
                <c:pt idx="51">
                  <c:v>54</c:v>
                </c:pt>
                <c:pt idx="52">
                  <c:v>240</c:v>
                </c:pt>
                <c:pt idx="53">
                  <c:v>132</c:v>
                </c:pt>
                <c:pt idx="54">
                  <c:v>81</c:v>
                </c:pt>
                <c:pt idx="55">
                  <c:v>81</c:v>
                </c:pt>
                <c:pt idx="56">
                  <c:v>81</c:v>
                </c:pt>
                <c:pt idx="57">
                  <c:v>108</c:v>
                </c:pt>
                <c:pt idx="58">
                  <c:v>132</c:v>
                </c:pt>
                <c:pt idx="59">
                  <c:v>54</c:v>
                </c:pt>
                <c:pt idx="60">
                  <c:v>240</c:v>
                </c:pt>
                <c:pt idx="61">
                  <c:v>108</c:v>
                </c:pt>
                <c:pt idx="62">
                  <c:v>60</c:v>
                </c:pt>
                <c:pt idx="63">
                  <c:v>93</c:v>
                </c:pt>
                <c:pt idx="64">
                  <c:v>132</c:v>
                </c:pt>
                <c:pt idx="65">
                  <c:v>240</c:v>
                </c:pt>
                <c:pt idx="66">
                  <c:v>108</c:v>
                </c:pt>
                <c:pt idx="67">
                  <c:v>132</c:v>
                </c:pt>
                <c:pt idx="68">
                  <c:v>159</c:v>
                </c:pt>
                <c:pt idx="69">
                  <c:v>174</c:v>
                </c:pt>
                <c:pt idx="70">
                  <c:v>108</c:v>
                </c:pt>
                <c:pt idx="71">
                  <c:v>321</c:v>
                </c:pt>
                <c:pt idx="72">
                  <c:v>186</c:v>
                </c:pt>
                <c:pt idx="73">
                  <c:v>93</c:v>
                </c:pt>
                <c:pt idx="74">
                  <c:v>186</c:v>
                </c:pt>
                <c:pt idx="75">
                  <c:v>108</c:v>
                </c:pt>
                <c:pt idx="76">
                  <c:v>81</c:v>
                </c:pt>
                <c:pt idx="77">
                  <c:v>201</c:v>
                </c:pt>
                <c:pt idx="78">
                  <c:v>159</c:v>
                </c:pt>
                <c:pt idx="79">
                  <c:v>240</c:v>
                </c:pt>
                <c:pt idx="80">
                  <c:v>66</c:v>
                </c:pt>
                <c:pt idx="81">
                  <c:v>54</c:v>
                </c:pt>
                <c:pt idx="82">
                  <c:v>99</c:v>
                </c:pt>
                <c:pt idx="83">
                  <c:v>81</c:v>
                </c:pt>
                <c:pt idx="84">
                  <c:v>54</c:v>
                </c:pt>
                <c:pt idx="85">
                  <c:v>39</c:v>
                </c:pt>
                <c:pt idx="86">
                  <c:v>120</c:v>
                </c:pt>
                <c:pt idx="87">
                  <c:v>81</c:v>
                </c:pt>
                <c:pt idx="88">
                  <c:v>66</c:v>
                </c:pt>
                <c:pt idx="89">
                  <c:v>54</c:v>
                </c:pt>
                <c:pt idx="90">
                  <c:v>39</c:v>
                </c:pt>
                <c:pt idx="91">
                  <c:v>132</c:v>
                </c:pt>
                <c:pt idx="92">
                  <c:v>54</c:v>
                </c:pt>
                <c:pt idx="93">
                  <c:v>240</c:v>
                </c:pt>
                <c:pt idx="94">
                  <c:v>180</c:v>
                </c:pt>
                <c:pt idx="95">
                  <c:v>132</c:v>
                </c:pt>
                <c:pt idx="96">
                  <c:v>108</c:v>
                </c:pt>
                <c:pt idx="97">
                  <c:v>60</c:v>
                </c:pt>
                <c:pt idx="98">
                  <c:v>54</c:v>
                </c:pt>
                <c:pt idx="99">
                  <c:v>39</c:v>
                </c:pt>
                <c:pt idx="100">
                  <c:v>66</c:v>
                </c:pt>
                <c:pt idx="101">
                  <c:v>267</c:v>
                </c:pt>
                <c:pt idx="102">
                  <c:v>66</c:v>
                </c:pt>
                <c:pt idx="103">
                  <c:v>108</c:v>
                </c:pt>
                <c:pt idx="104">
                  <c:v>174</c:v>
                </c:pt>
                <c:pt idx="105">
                  <c:v>108</c:v>
                </c:pt>
                <c:pt idx="106">
                  <c:v>186</c:v>
                </c:pt>
                <c:pt idx="107">
                  <c:v>186</c:v>
                </c:pt>
                <c:pt idx="108">
                  <c:v>174</c:v>
                </c:pt>
                <c:pt idx="109">
                  <c:v>81</c:v>
                </c:pt>
                <c:pt idx="110">
                  <c:v>147</c:v>
                </c:pt>
                <c:pt idx="111">
                  <c:v>240</c:v>
                </c:pt>
                <c:pt idx="112">
                  <c:v>81</c:v>
                </c:pt>
                <c:pt idx="113">
                  <c:v>57</c:v>
                </c:pt>
                <c:pt idx="114">
                  <c:v>153</c:v>
                </c:pt>
                <c:pt idx="115">
                  <c:v>108</c:v>
                </c:pt>
                <c:pt idx="116">
                  <c:v>267</c:v>
                </c:pt>
                <c:pt idx="117">
                  <c:v>159</c:v>
                </c:pt>
                <c:pt idx="118">
                  <c:v>108</c:v>
                </c:pt>
                <c:pt idx="119">
                  <c:v>57</c:v>
                </c:pt>
                <c:pt idx="120">
                  <c:v>132</c:v>
                </c:pt>
                <c:pt idx="121">
                  <c:v>132</c:v>
                </c:pt>
                <c:pt idx="122">
                  <c:v>321</c:v>
                </c:pt>
                <c:pt idx="123">
                  <c:v>93</c:v>
                </c:pt>
                <c:pt idx="124">
                  <c:v>108</c:v>
                </c:pt>
                <c:pt idx="125">
                  <c:v>54</c:v>
                </c:pt>
                <c:pt idx="126">
                  <c:v>153</c:v>
                </c:pt>
                <c:pt idx="127">
                  <c:v>81</c:v>
                </c:pt>
                <c:pt idx="128">
                  <c:v>81</c:v>
                </c:pt>
                <c:pt idx="129">
                  <c:v>93</c:v>
                </c:pt>
                <c:pt idx="130">
                  <c:v>54</c:v>
                </c:pt>
                <c:pt idx="131">
                  <c:v>147</c:v>
                </c:pt>
                <c:pt idx="132">
                  <c:v>66</c:v>
                </c:pt>
                <c:pt idx="133">
                  <c:v>54</c:v>
                </c:pt>
                <c:pt idx="134">
                  <c:v>120</c:v>
                </c:pt>
                <c:pt idx="135">
                  <c:v>240</c:v>
                </c:pt>
                <c:pt idx="136">
                  <c:v>201</c:v>
                </c:pt>
                <c:pt idx="137">
                  <c:v>108</c:v>
                </c:pt>
                <c:pt idx="138">
                  <c:v>54</c:v>
                </c:pt>
                <c:pt idx="139">
                  <c:v>54</c:v>
                </c:pt>
                <c:pt idx="140">
                  <c:v>186</c:v>
                </c:pt>
                <c:pt idx="141">
                  <c:v>81</c:v>
                </c:pt>
                <c:pt idx="142">
                  <c:v>66</c:v>
                </c:pt>
                <c:pt idx="143">
                  <c:v>57</c:v>
                </c:pt>
                <c:pt idx="144">
                  <c:v>39</c:v>
                </c:pt>
                <c:pt idx="145">
                  <c:v>108</c:v>
                </c:pt>
                <c:pt idx="146">
                  <c:v>57</c:v>
                </c:pt>
                <c:pt idx="147">
                  <c:v>240</c:v>
                </c:pt>
                <c:pt idx="148">
                  <c:v>66</c:v>
                </c:pt>
                <c:pt idx="149">
                  <c:v>81</c:v>
                </c:pt>
                <c:pt idx="150">
                  <c:v>66</c:v>
                </c:pt>
                <c:pt idx="151">
                  <c:v>159</c:v>
                </c:pt>
                <c:pt idx="152">
                  <c:v>108</c:v>
                </c:pt>
                <c:pt idx="153">
                  <c:v>81</c:v>
                </c:pt>
                <c:pt idx="154">
                  <c:v>159</c:v>
                </c:pt>
                <c:pt idx="155">
                  <c:v>120</c:v>
                </c:pt>
                <c:pt idx="156">
                  <c:v>108</c:v>
                </c:pt>
                <c:pt idx="157">
                  <c:v>81</c:v>
                </c:pt>
                <c:pt idx="158">
                  <c:v>66</c:v>
                </c:pt>
                <c:pt idx="159">
                  <c:v>108</c:v>
                </c:pt>
                <c:pt idx="160">
                  <c:v>201</c:v>
                </c:pt>
                <c:pt idx="161">
                  <c:v>108</c:v>
                </c:pt>
                <c:pt idx="162">
                  <c:v>81</c:v>
                </c:pt>
                <c:pt idx="163">
                  <c:v>186</c:v>
                </c:pt>
                <c:pt idx="164">
                  <c:v>132</c:v>
                </c:pt>
                <c:pt idx="165">
                  <c:v>66</c:v>
                </c:pt>
                <c:pt idx="166">
                  <c:v>81</c:v>
                </c:pt>
                <c:pt idx="167">
                  <c:v>66</c:v>
                </c:pt>
                <c:pt idx="168">
                  <c:v>174</c:v>
                </c:pt>
                <c:pt idx="169">
                  <c:v>57</c:v>
                </c:pt>
                <c:pt idx="170">
                  <c:v>159</c:v>
                </c:pt>
                <c:pt idx="171">
                  <c:v>54</c:v>
                </c:pt>
                <c:pt idx="172">
                  <c:v>132</c:v>
                </c:pt>
                <c:pt idx="173">
                  <c:v>57</c:v>
                </c:pt>
                <c:pt idx="174">
                  <c:v>66</c:v>
                </c:pt>
                <c:pt idx="175">
                  <c:v>159</c:v>
                </c:pt>
                <c:pt idx="176">
                  <c:v>159</c:v>
                </c:pt>
                <c:pt idx="177">
                  <c:v>108</c:v>
                </c:pt>
                <c:pt idx="178">
                  <c:v>186</c:v>
                </c:pt>
                <c:pt idx="179">
                  <c:v>213</c:v>
                </c:pt>
                <c:pt idx="180">
                  <c:v>54</c:v>
                </c:pt>
                <c:pt idx="181">
                  <c:v>159</c:v>
                </c:pt>
                <c:pt idx="182">
                  <c:v>108</c:v>
                </c:pt>
                <c:pt idx="183">
                  <c:v>108</c:v>
                </c:pt>
                <c:pt idx="184">
                  <c:v>66</c:v>
                </c:pt>
                <c:pt idx="185">
                  <c:v>120</c:v>
                </c:pt>
                <c:pt idx="186">
                  <c:v>174</c:v>
                </c:pt>
                <c:pt idx="187">
                  <c:v>57</c:v>
                </c:pt>
                <c:pt idx="188">
                  <c:v>132</c:v>
                </c:pt>
                <c:pt idx="189">
                  <c:v>81</c:v>
                </c:pt>
                <c:pt idx="190">
                  <c:v>174</c:v>
                </c:pt>
                <c:pt idx="191">
                  <c:v>108</c:v>
                </c:pt>
                <c:pt idx="192">
                  <c:v>57</c:v>
                </c:pt>
                <c:pt idx="193">
                  <c:v>108</c:v>
                </c:pt>
                <c:pt idx="194">
                  <c:v>57</c:v>
                </c:pt>
                <c:pt idx="195">
                  <c:v>201</c:v>
                </c:pt>
                <c:pt idx="196">
                  <c:v>72</c:v>
                </c:pt>
                <c:pt idx="197">
                  <c:v>108</c:v>
                </c:pt>
                <c:pt idx="198">
                  <c:v>93</c:v>
                </c:pt>
                <c:pt idx="199">
                  <c:v>159</c:v>
                </c:pt>
              </c:numCache>
            </c:numRef>
          </c:xVal>
          <c:yVal>
            <c:numRef>
              <c:f>Регрессия!$C$25:$C$224</c:f>
              <c:numCache>
                <c:formatCode>General</c:formatCode>
                <c:ptCount val="200"/>
                <c:pt idx="0">
                  <c:v>-0.25567383972208901</c:v>
                </c:pt>
                <c:pt idx="1">
                  <c:v>-3.8265982549015476E-2</c:v>
                </c:pt>
                <c:pt idx="2">
                  <c:v>1.1790995729595373</c:v>
                </c:pt>
                <c:pt idx="3">
                  <c:v>3.8748216365791794</c:v>
                </c:pt>
                <c:pt idx="4">
                  <c:v>0.74432616027791099</c:v>
                </c:pt>
                <c:pt idx="5">
                  <c:v>1.0051902078868866</c:v>
                </c:pt>
                <c:pt idx="6">
                  <c:v>0.74432616027791099</c:v>
                </c:pt>
                <c:pt idx="7">
                  <c:v>0.39650743013261014</c:v>
                </c:pt>
                <c:pt idx="8">
                  <c:v>-0.82090042704046273</c:v>
                </c:pt>
                <c:pt idx="9">
                  <c:v>0.74432616027791099</c:v>
                </c:pt>
                <c:pt idx="10">
                  <c:v>-0.5600363794314871</c:v>
                </c:pt>
                <c:pt idx="11">
                  <c:v>-0.47308169689516189</c:v>
                </c:pt>
                <c:pt idx="12">
                  <c:v>-0.51649558566654363</c:v>
                </c:pt>
                <c:pt idx="13">
                  <c:v>0.52691830310483811</c:v>
                </c:pt>
                <c:pt idx="14">
                  <c:v>-0.95126899834817102</c:v>
                </c:pt>
                <c:pt idx="15">
                  <c:v>0.35313584302574874</c:v>
                </c:pt>
                <c:pt idx="16">
                  <c:v>-1.2990877284934719</c:v>
                </c:pt>
                <c:pt idx="17">
                  <c:v>0.35313584302574874</c:v>
                </c:pt>
                <c:pt idx="18">
                  <c:v>0.39650743013261014</c:v>
                </c:pt>
                <c:pt idx="19">
                  <c:v>-1.0382659825490155</c:v>
                </c:pt>
                <c:pt idx="20">
                  <c:v>-2.2990877284934719</c:v>
                </c:pt>
                <c:pt idx="21">
                  <c:v>-0.5600363794314871</c:v>
                </c:pt>
                <c:pt idx="22">
                  <c:v>1.1790995729595373</c:v>
                </c:pt>
                <c:pt idx="23">
                  <c:v>0.22259806505996016</c:v>
                </c:pt>
                <c:pt idx="24">
                  <c:v>1.1790995729595373</c:v>
                </c:pt>
                <c:pt idx="25">
                  <c:v>-3.8265982549015476E-2</c:v>
                </c:pt>
                <c:pt idx="26">
                  <c:v>-3.8265982549015476E-2</c:v>
                </c:pt>
                <c:pt idx="27">
                  <c:v>0.74432616027791099</c:v>
                </c:pt>
                <c:pt idx="28">
                  <c:v>-0.5600363794314871</c:v>
                </c:pt>
                <c:pt idx="29">
                  <c:v>-3.8265982549015476E-2</c:v>
                </c:pt>
                <c:pt idx="30">
                  <c:v>-3.8265982549015476E-2</c:v>
                </c:pt>
                <c:pt idx="31">
                  <c:v>0.96173401745098452</c:v>
                </c:pt>
                <c:pt idx="32">
                  <c:v>-0.51649558566654363</c:v>
                </c:pt>
                <c:pt idx="33">
                  <c:v>-0.5600363794314871</c:v>
                </c:pt>
                <c:pt idx="34">
                  <c:v>-0.60349256986738986</c:v>
                </c:pt>
                <c:pt idx="35">
                  <c:v>-0.60349256986738986</c:v>
                </c:pt>
                <c:pt idx="36">
                  <c:v>0.70091227150652813</c:v>
                </c:pt>
                <c:pt idx="37">
                  <c:v>-0.95126899834817102</c:v>
                </c:pt>
                <c:pt idx="38">
                  <c:v>-0.73390344283961717</c:v>
                </c:pt>
                <c:pt idx="39">
                  <c:v>-0.25567383972208901</c:v>
                </c:pt>
                <c:pt idx="40">
                  <c:v>1.1790995729595373</c:v>
                </c:pt>
                <c:pt idx="41">
                  <c:v>0.48350441433345637</c:v>
                </c:pt>
                <c:pt idx="42">
                  <c:v>-3.8265982549015476E-2</c:v>
                </c:pt>
                <c:pt idx="43">
                  <c:v>-0.47308169689516189</c:v>
                </c:pt>
                <c:pt idx="44">
                  <c:v>-0.5600363794314871</c:v>
                </c:pt>
                <c:pt idx="45">
                  <c:v>1.5269183031048381</c:v>
                </c:pt>
                <c:pt idx="46">
                  <c:v>-0.60349256986738986</c:v>
                </c:pt>
                <c:pt idx="47">
                  <c:v>-1.5164955856665436</c:v>
                </c:pt>
                <c:pt idx="48">
                  <c:v>-1.0816798713203983</c:v>
                </c:pt>
                <c:pt idx="49">
                  <c:v>0.74432616027791099</c:v>
                </c:pt>
                <c:pt idx="50">
                  <c:v>-2.0382659825490155</c:v>
                </c:pt>
                <c:pt idx="51">
                  <c:v>-0.47308169689516189</c:v>
                </c:pt>
                <c:pt idx="52">
                  <c:v>-0.8642720141473248</c:v>
                </c:pt>
                <c:pt idx="53">
                  <c:v>-0.73390344283961717</c:v>
                </c:pt>
                <c:pt idx="54">
                  <c:v>-0.25567383972208901</c:v>
                </c:pt>
                <c:pt idx="55">
                  <c:v>-0.25567383972208901</c:v>
                </c:pt>
                <c:pt idx="56">
                  <c:v>0.74432616027791099</c:v>
                </c:pt>
                <c:pt idx="57">
                  <c:v>-3.8265982549015476E-2</c:v>
                </c:pt>
                <c:pt idx="58">
                  <c:v>-0.73390344283961717</c:v>
                </c:pt>
                <c:pt idx="59">
                  <c:v>-0.47308169689516189</c:v>
                </c:pt>
                <c:pt idx="60">
                  <c:v>3.1357279858526752</c:v>
                </c:pt>
                <c:pt idx="61">
                  <c:v>0.96173401745098452</c:v>
                </c:pt>
                <c:pt idx="62">
                  <c:v>1.3530089380321877</c:v>
                </c:pt>
                <c:pt idx="63">
                  <c:v>2.3965074301326101</c:v>
                </c:pt>
                <c:pt idx="64">
                  <c:v>-0.73390344283961717</c:v>
                </c:pt>
                <c:pt idx="65">
                  <c:v>3.1357279858526752</c:v>
                </c:pt>
                <c:pt idx="66">
                  <c:v>-1.0382659825490155</c:v>
                </c:pt>
                <c:pt idx="67">
                  <c:v>0.26609655716038283</c:v>
                </c:pt>
                <c:pt idx="68">
                  <c:v>1.4835044143334564</c:v>
                </c:pt>
                <c:pt idx="69">
                  <c:v>4.8731001651828976E-2</c:v>
                </c:pt>
                <c:pt idx="70">
                  <c:v>-2.0382659825490155</c:v>
                </c:pt>
                <c:pt idx="71">
                  <c:v>3.7879515573718958</c:v>
                </c:pt>
                <c:pt idx="72">
                  <c:v>-0.29908772849347187</c:v>
                </c:pt>
                <c:pt idx="73">
                  <c:v>-0.60349256986738986</c:v>
                </c:pt>
                <c:pt idx="74">
                  <c:v>-1.2990877284934719</c:v>
                </c:pt>
                <c:pt idx="75">
                  <c:v>-2.0382659825490155</c:v>
                </c:pt>
                <c:pt idx="76">
                  <c:v>0.74432616027791099</c:v>
                </c:pt>
                <c:pt idx="77">
                  <c:v>-0.73386114117509749</c:v>
                </c:pt>
                <c:pt idx="78">
                  <c:v>0.48350441433345637</c:v>
                </c:pt>
                <c:pt idx="79">
                  <c:v>0.1357279858526752</c:v>
                </c:pt>
                <c:pt idx="80">
                  <c:v>-0.82090042704046273</c:v>
                </c:pt>
                <c:pt idx="81">
                  <c:v>-0.47308169689516189</c:v>
                </c:pt>
                <c:pt idx="82">
                  <c:v>0.22259806505996016</c:v>
                </c:pt>
                <c:pt idx="83">
                  <c:v>-1.255673839722089</c:v>
                </c:pt>
                <c:pt idx="84">
                  <c:v>-0.47308169689516189</c:v>
                </c:pt>
                <c:pt idx="85">
                  <c:v>1.961691715786464</c:v>
                </c:pt>
                <c:pt idx="86">
                  <c:v>-0.38608471269431632</c:v>
                </c:pt>
                <c:pt idx="87">
                  <c:v>-1.255673839722089</c:v>
                </c:pt>
                <c:pt idx="88">
                  <c:v>1.1790995729595373</c:v>
                </c:pt>
                <c:pt idx="89">
                  <c:v>-0.47308169689516189</c:v>
                </c:pt>
                <c:pt idx="90">
                  <c:v>1.961691715786464</c:v>
                </c:pt>
                <c:pt idx="91">
                  <c:v>-0.73390344283961717</c:v>
                </c:pt>
                <c:pt idx="92">
                  <c:v>-0.47308169689516189</c:v>
                </c:pt>
                <c:pt idx="93">
                  <c:v>0.1357279858526752</c:v>
                </c:pt>
                <c:pt idx="94">
                  <c:v>3.8748216365791794</c:v>
                </c:pt>
                <c:pt idx="95">
                  <c:v>-2.7339034428396172</c:v>
                </c:pt>
                <c:pt idx="96">
                  <c:v>-3.8265982549015476E-2</c:v>
                </c:pt>
                <c:pt idx="97">
                  <c:v>1.3530089380321877</c:v>
                </c:pt>
                <c:pt idx="98">
                  <c:v>-0.47308169689516189</c:v>
                </c:pt>
                <c:pt idx="99">
                  <c:v>-3.8308284213536048E-2</c:v>
                </c:pt>
                <c:pt idx="100">
                  <c:v>0.17909957295953727</c:v>
                </c:pt>
                <c:pt idx="101">
                  <c:v>0.35313584302574874</c:v>
                </c:pt>
                <c:pt idx="102">
                  <c:v>0.17909957295953727</c:v>
                </c:pt>
                <c:pt idx="103">
                  <c:v>-3.8265982549015476E-2</c:v>
                </c:pt>
                <c:pt idx="104">
                  <c:v>-0.95126899834817102</c:v>
                </c:pt>
                <c:pt idx="105">
                  <c:v>-3.8265982549015476E-2</c:v>
                </c:pt>
                <c:pt idx="106">
                  <c:v>-2.2990877284934719</c:v>
                </c:pt>
                <c:pt idx="107">
                  <c:v>0.70091227150652813</c:v>
                </c:pt>
                <c:pt idx="108">
                  <c:v>4.8731001651828976E-2</c:v>
                </c:pt>
                <c:pt idx="109">
                  <c:v>0.74432616027791099</c:v>
                </c:pt>
                <c:pt idx="110">
                  <c:v>-0.16867685552124279</c:v>
                </c:pt>
                <c:pt idx="111">
                  <c:v>-1.8642720141473248</c:v>
                </c:pt>
                <c:pt idx="112">
                  <c:v>0.74432616027791099</c:v>
                </c:pt>
                <c:pt idx="113">
                  <c:v>-0.5600363794314871</c:v>
                </c:pt>
                <c:pt idx="114">
                  <c:v>-1.3425862205938941</c:v>
                </c:pt>
                <c:pt idx="115">
                  <c:v>-1.0382659825490155</c:v>
                </c:pt>
                <c:pt idx="116">
                  <c:v>0.35313584302574874</c:v>
                </c:pt>
                <c:pt idx="117">
                  <c:v>-1.5164955856665436</c:v>
                </c:pt>
                <c:pt idx="118">
                  <c:v>-3.8265982549015476E-2</c:v>
                </c:pt>
                <c:pt idx="119">
                  <c:v>-0.5600363794314871</c:v>
                </c:pt>
                <c:pt idx="120">
                  <c:v>-0.73390344283961717</c:v>
                </c:pt>
                <c:pt idx="121">
                  <c:v>1.2660965571603828</c:v>
                </c:pt>
                <c:pt idx="122">
                  <c:v>3.7879515573718958</c:v>
                </c:pt>
                <c:pt idx="123">
                  <c:v>0.39650743013261014</c:v>
                </c:pt>
                <c:pt idx="124">
                  <c:v>-3.8265982549015476E-2</c:v>
                </c:pt>
                <c:pt idx="125">
                  <c:v>1.5269183031048381</c:v>
                </c:pt>
                <c:pt idx="126">
                  <c:v>-1.3425862205938941</c:v>
                </c:pt>
                <c:pt idx="127">
                  <c:v>-0.25567383972208901</c:v>
                </c:pt>
                <c:pt idx="128">
                  <c:v>-0.25567383972208901</c:v>
                </c:pt>
                <c:pt idx="129">
                  <c:v>2.3965074301326101</c:v>
                </c:pt>
                <c:pt idx="130">
                  <c:v>0.52691830310483811</c:v>
                </c:pt>
                <c:pt idx="131">
                  <c:v>-0.16867685552124279</c:v>
                </c:pt>
                <c:pt idx="132">
                  <c:v>0.17909957295953727</c:v>
                </c:pt>
                <c:pt idx="133">
                  <c:v>0.52691830310483811</c:v>
                </c:pt>
                <c:pt idx="134">
                  <c:v>-0.38608471269431632</c:v>
                </c:pt>
                <c:pt idx="135">
                  <c:v>-1.8642720141473248</c:v>
                </c:pt>
                <c:pt idx="136">
                  <c:v>1.2661388588249025</c:v>
                </c:pt>
                <c:pt idx="137">
                  <c:v>-3.8265982549015476E-2</c:v>
                </c:pt>
                <c:pt idx="138">
                  <c:v>1.5269183031048381</c:v>
                </c:pt>
                <c:pt idx="139">
                  <c:v>-0.47308169689516189</c:v>
                </c:pt>
                <c:pt idx="140">
                  <c:v>-0.29908772849347187</c:v>
                </c:pt>
                <c:pt idx="141">
                  <c:v>-0.25567383972208901</c:v>
                </c:pt>
                <c:pt idx="142">
                  <c:v>1.1790995729595373</c:v>
                </c:pt>
                <c:pt idx="143">
                  <c:v>-0.5600363794314871</c:v>
                </c:pt>
                <c:pt idx="144">
                  <c:v>-3.8308284213536048E-2</c:v>
                </c:pt>
                <c:pt idx="145">
                  <c:v>-3.8265982549015476E-2</c:v>
                </c:pt>
                <c:pt idx="146">
                  <c:v>-0.5600363794314871</c:v>
                </c:pt>
                <c:pt idx="147">
                  <c:v>-0.8642720141473248</c:v>
                </c:pt>
                <c:pt idx="148">
                  <c:v>1.1790995729595373</c:v>
                </c:pt>
                <c:pt idx="149">
                  <c:v>0.74432616027791099</c:v>
                </c:pt>
                <c:pt idx="150">
                  <c:v>-0.82090042704046273</c:v>
                </c:pt>
                <c:pt idx="151">
                  <c:v>0.48350441433345637</c:v>
                </c:pt>
                <c:pt idx="152">
                  <c:v>-3.8265982549015476E-2</c:v>
                </c:pt>
                <c:pt idx="153">
                  <c:v>0.74432616027791099</c:v>
                </c:pt>
                <c:pt idx="154">
                  <c:v>-0.51649558566654363</c:v>
                </c:pt>
                <c:pt idx="155">
                  <c:v>-0.38608471269431632</c:v>
                </c:pt>
                <c:pt idx="156">
                  <c:v>-3.8265982549015476E-2</c:v>
                </c:pt>
                <c:pt idx="157">
                  <c:v>-0.25567383972208901</c:v>
                </c:pt>
                <c:pt idx="158">
                  <c:v>0.17909957295953727</c:v>
                </c:pt>
                <c:pt idx="159">
                  <c:v>-3.8265982549015476E-2</c:v>
                </c:pt>
                <c:pt idx="160">
                  <c:v>-0.73386114117509749</c:v>
                </c:pt>
                <c:pt idx="161">
                  <c:v>-3.8265982549015476E-2</c:v>
                </c:pt>
                <c:pt idx="162">
                  <c:v>0.74432616027791099</c:v>
                </c:pt>
                <c:pt idx="163">
                  <c:v>-0.29908772849347187</c:v>
                </c:pt>
                <c:pt idx="164">
                  <c:v>-2.7339034428396172</c:v>
                </c:pt>
                <c:pt idx="165">
                  <c:v>0.17909957295953727</c:v>
                </c:pt>
                <c:pt idx="166">
                  <c:v>0.74432616027791099</c:v>
                </c:pt>
                <c:pt idx="167">
                  <c:v>1.1790995729595373</c:v>
                </c:pt>
                <c:pt idx="168">
                  <c:v>-1.951268998348171</c:v>
                </c:pt>
                <c:pt idx="169">
                  <c:v>-0.5600363794314871</c:v>
                </c:pt>
                <c:pt idx="170">
                  <c:v>1.4835044143334564</c:v>
                </c:pt>
                <c:pt idx="171">
                  <c:v>0.52691830310483811</c:v>
                </c:pt>
                <c:pt idx="172">
                  <c:v>0.26609655716038283</c:v>
                </c:pt>
                <c:pt idx="173">
                  <c:v>0.4399636205685129</c:v>
                </c:pt>
                <c:pt idx="174">
                  <c:v>-0.82090042704046273</c:v>
                </c:pt>
                <c:pt idx="175">
                  <c:v>-1.5164955856665436</c:v>
                </c:pt>
                <c:pt idx="176">
                  <c:v>-0.51649558566654363</c:v>
                </c:pt>
                <c:pt idx="177">
                  <c:v>-3.8265982549015476E-2</c:v>
                </c:pt>
                <c:pt idx="178">
                  <c:v>-0.29908772849347187</c:v>
                </c:pt>
                <c:pt idx="179">
                  <c:v>-1.0816798713203983</c:v>
                </c:pt>
                <c:pt idx="180">
                  <c:v>1.5269183031048381</c:v>
                </c:pt>
                <c:pt idx="181">
                  <c:v>-1.5164955856665436</c:v>
                </c:pt>
                <c:pt idx="182">
                  <c:v>-2.0382659825490155</c:v>
                </c:pt>
                <c:pt idx="183">
                  <c:v>-3.8265982549015476E-2</c:v>
                </c:pt>
                <c:pt idx="184">
                  <c:v>0.17909957295953727</c:v>
                </c:pt>
                <c:pt idx="185">
                  <c:v>-0.38608471269431632</c:v>
                </c:pt>
                <c:pt idx="186">
                  <c:v>-0.95126899834817102</c:v>
                </c:pt>
                <c:pt idx="187">
                  <c:v>0.4399636205685129</c:v>
                </c:pt>
                <c:pt idx="188">
                  <c:v>1.2660965571603828</c:v>
                </c:pt>
                <c:pt idx="189">
                  <c:v>0.74432616027791099</c:v>
                </c:pt>
                <c:pt idx="190">
                  <c:v>-1.951268998348171</c:v>
                </c:pt>
                <c:pt idx="191">
                  <c:v>-3.8265982549015476E-2</c:v>
                </c:pt>
                <c:pt idx="192">
                  <c:v>-0.5600363794314871</c:v>
                </c:pt>
                <c:pt idx="193">
                  <c:v>-3.8265982549015476E-2</c:v>
                </c:pt>
                <c:pt idx="194">
                  <c:v>-0.5600363794314871</c:v>
                </c:pt>
                <c:pt idx="195">
                  <c:v>1.2661388588249025</c:v>
                </c:pt>
                <c:pt idx="196">
                  <c:v>1.0051902078868866</c:v>
                </c:pt>
                <c:pt idx="197">
                  <c:v>-1.0382659825490155</c:v>
                </c:pt>
                <c:pt idx="198">
                  <c:v>0.39650743013261014</c:v>
                </c:pt>
                <c:pt idx="199">
                  <c:v>0.48350441433345637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EE-41F3-88DC-93DC7ACE0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520784"/>
        <c:axId val="1055509968"/>
      </c:scatterChart>
      <c:valAx>
        <c:axId val="105552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годовой доход, тыс. руб.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5509968"/>
        <c:crosses val="autoZero"/>
        <c:crossBetween val="midCat"/>
      </c:valAx>
      <c:valAx>
        <c:axId val="1055509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55207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244189194986877"/>
          <c:y val="0.12761716611176779"/>
          <c:w val="0.86268867258631621"/>
          <c:h val="0.68210973370002081"/>
        </c:manualLayout>
      </c:layout>
      <c:lineChart>
        <c:grouping val="stacked"/>
        <c:varyColors val="0"/>
        <c:ser>
          <c:idx val="0"/>
          <c:order val="0"/>
          <c:tx>
            <c:strRef>
              <c:f>Данные!$Q$2</c:f>
              <c:strCache>
                <c:ptCount val="1"/>
                <c:pt idx="0">
                  <c:v>кумулятивная частота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(Данные!$M$1,Данные!$M$3:$M$16)</c:f>
              <c:strCache>
                <c:ptCount val="14"/>
                <c:pt idx="0">
                  <c:v>годовой доход</c:v>
                </c:pt>
                <c:pt idx="1">
                  <c:v>1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strCache>
            </c:strRef>
          </c:cat>
          <c:val>
            <c:numRef>
              <c:f>Данные!$Q$3:$Q$16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4</c:v>
                </c:pt>
                <c:pt idx="6">
                  <c:v>38</c:v>
                </c:pt>
                <c:pt idx="7">
                  <c:v>56</c:v>
                </c:pt>
                <c:pt idx="8">
                  <c:v>58</c:v>
                </c:pt>
                <c:pt idx="9">
                  <c:v>82</c:v>
                </c:pt>
                <c:pt idx="10">
                  <c:v>94</c:v>
                </c:pt>
                <c:pt idx="11">
                  <c:v>126</c:v>
                </c:pt>
                <c:pt idx="12">
                  <c:v>130</c:v>
                </c:pt>
                <c:pt idx="13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4-4371-94A2-64C2B95DF7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659644120"/>
        <c:axId val="659647072"/>
      </c:lineChart>
      <c:catAx>
        <c:axId val="659644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Интервалы дохода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9647072"/>
        <c:crosses val="autoZero"/>
        <c:auto val="1"/>
        <c:lblAlgn val="ctr"/>
        <c:lblOffset val="100"/>
        <c:noMultiLvlLbl val="0"/>
      </c:catAx>
      <c:valAx>
        <c:axId val="65964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 кумулятивной частоты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9644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Возраст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Данные!$I$2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Данные!$H$3:$H$18</c15:sqref>
                  </c15:fullRef>
                </c:ext>
              </c:extLst>
              <c:f>Данные!$H$3:$H$17</c:f>
              <c:strCache>
                <c:ptCount val="15"/>
                <c:pt idx="0">
                  <c:v>11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71</c:v>
                </c:pt>
                <c:pt idx="13">
                  <c:v>75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Данные!$I$3:$I$18</c15:sqref>
                  </c15:fullRef>
                </c:ext>
              </c:extLst>
              <c:f>Данные!$I$3:$I$17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14</c:v>
                </c:pt>
                <c:pt idx="4">
                  <c:v>32</c:v>
                </c:pt>
                <c:pt idx="5">
                  <c:v>32</c:v>
                </c:pt>
                <c:pt idx="6">
                  <c:v>22</c:v>
                </c:pt>
                <c:pt idx="7">
                  <c:v>24</c:v>
                </c:pt>
                <c:pt idx="8">
                  <c:v>22</c:v>
                </c:pt>
                <c:pt idx="9">
                  <c:v>18</c:v>
                </c:pt>
                <c:pt idx="10">
                  <c:v>20</c:v>
                </c:pt>
                <c:pt idx="11">
                  <c:v>8</c:v>
                </c:pt>
                <c:pt idx="12">
                  <c:v>2</c:v>
                </c:pt>
                <c:pt idx="13">
                  <c:v>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F-4143-AEEF-2B42E456D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585912"/>
        <c:axId val="570589192"/>
      </c:barChart>
      <c:catAx>
        <c:axId val="570585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Границы интервалов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589192"/>
        <c:crosses val="autoZero"/>
        <c:auto val="1"/>
        <c:lblAlgn val="ctr"/>
        <c:lblOffset val="100"/>
        <c:noMultiLvlLbl val="0"/>
      </c:catAx>
      <c:valAx>
        <c:axId val="57058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Частота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585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Доход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Данные!$N$2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Данные!$M$3:$M$17</c15:sqref>
                  </c15:fullRef>
                </c:ext>
              </c:extLst>
              <c:f>Данные!$M$3:$M$16</c:f>
              <c:strCache>
                <c:ptCount val="14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Данные!$N$3:$N$17</c15:sqref>
                  </c15:fullRef>
                </c:ext>
              </c:extLst>
              <c:f>Данные!$N$3:$N$16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34</c:v>
                </c:pt>
                <c:pt idx="7">
                  <c:v>18</c:v>
                </c:pt>
                <c:pt idx="8">
                  <c:v>2</c:v>
                </c:pt>
                <c:pt idx="9">
                  <c:v>24</c:v>
                </c:pt>
                <c:pt idx="10">
                  <c:v>12</c:v>
                </c:pt>
                <c:pt idx="11">
                  <c:v>32</c:v>
                </c:pt>
                <c:pt idx="12">
                  <c:v>4</c:v>
                </c:pt>
                <c:pt idx="1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C-4A94-BDF7-060F6D8F2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449216"/>
        <c:axId val="724443640"/>
      </c:barChart>
      <c:catAx>
        <c:axId val="72444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Границы интервалов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4443640"/>
        <c:crosses val="autoZero"/>
        <c:auto val="1"/>
        <c:lblAlgn val="ctr"/>
        <c:lblOffset val="100"/>
        <c:noMultiLvlLbl val="0"/>
      </c:catAx>
      <c:valAx>
        <c:axId val="72444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444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Зависимость числа полетов от возраста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Данные!$F$1</c:f>
              <c:strCache>
                <c:ptCount val="1"/>
                <c:pt idx="0">
                  <c:v>возраст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Данные!$A$2:$A$201</c:f>
              <c:numCache>
                <c:formatCode>General</c:formatCode>
                <c:ptCount val="20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9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4</c:v>
                </c:pt>
                <c:pt idx="17">
                  <c:v>8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6</c:v>
                </c:pt>
                <c:pt idx="37">
                  <c:v>4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5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5</c:v>
                </c:pt>
                <c:pt idx="49">
                  <c:v>3</c:v>
                </c:pt>
                <c:pt idx="50">
                  <c:v>1</c:v>
                </c:pt>
                <c:pt idx="51">
                  <c:v>1</c:v>
                </c:pt>
                <c:pt idx="52">
                  <c:v>6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1</c:v>
                </c:pt>
                <c:pt idx="60">
                  <c:v>10</c:v>
                </c:pt>
                <c:pt idx="61">
                  <c:v>4</c:v>
                </c:pt>
                <c:pt idx="62">
                  <c:v>3</c:v>
                </c:pt>
                <c:pt idx="63">
                  <c:v>5</c:v>
                </c:pt>
                <c:pt idx="64">
                  <c:v>3</c:v>
                </c:pt>
                <c:pt idx="65">
                  <c:v>10</c:v>
                </c:pt>
                <c:pt idx="66">
                  <c:v>2</c:v>
                </c:pt>
                <c:pt idx="67">
                  <c:v>4</c:v>
                </c:pt>
                <c:pt idx="68">
                  <c:v>6</c:v>
                </c:pt>
                <c:pt idx="69">
                  <c:v>5</c:v>
                </c:pt>
                <c:pt idx="70">
                  <c:v>1</c:v>
                </c:pt>
                <c:pt idx="71">
                  <c:v>13</c:v>
                </c:pt>
                <c:pt idx="72">
                  <c:v>5</c:v>
                </c:pt>
                <c:pt idx="73">
                  <c:v>2</c:v>
                </c:pt>
                <c:pt idx="74">
                  <c:v>4</c:v>
                </c:pt>
                <c:pt idx="75">
                  <c:v>1</c:v>
                </c:pt>
                <c:pt idx="76">
                  <c:v>3</c:v>
                </c:pt>
                <c:pt idx="77">
                  <c:v>5</c:v>
                </c:pt>
                <c:pt idx="78">
                  <c:v>5</c:v>
                </c:pt>
                <c:pt idx="79">
                  <c:v>7</c:v>
                </c:pt>
                <c:pt idx="80">
                  <c:v>1</c:v>
                </c:pt>
                <c:pt idx="81">
                  <c:v>1</c:v>
                </c:pt>
                <c:pt idx="82">
                  <c:v>3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1</c:v>
                </c:pt>
                <c:pt idx="88">
                  <c:v>3</c:v>
                </c:pt>
                <c:pt idx="89">
                  <c:v>1</c:v>
                </c:pt>
                <c:pt idx="90">
                  <c:v>3</c:v>
                </c:pt>
                <c:pt idx="91">
                  <c:v>3</c:v>
                </c:pt>
                <c:pt idx="92">
                  <c:v>1</c:v>
                </c:pt>
                <c:pt idx="93">
                  <c:v>7</c:v>
                </c:pt>
                <c:pt idx="94">
                  <c:v>9</c:v>
                </c:pt>
                <c:pt idx="95">
                  <c:v>1</c:v>
                </c:pt>
                <c:pt idx="96">
                  <c:v>3</c:v>
                </c:pt>
                <c:pt idx="97">
                  <c:v>3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8</c:v>
                </c:pt>
                <c:pt idx="102">
                  <c:v>2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3</c:v>
                </c:pt>
                <c:pt idx="107">
                  <c:v>6</c:v>
                </c:pt>
                <c:pt idx="108">
                  <c:v>5</c:v>
                </c:pt>
                <c:pt idx="109">
                  <c:v>3</c:v>
                </c:pt>
                <c:pt idx="110">
                  <c:v>4</c:v>
                </c:pt>
                <c:pt idx="111">
                  <c:v>5</c:v>
                </c:pt>
                <c:pt idx="112">
                  <c:v>3</c:v>
                </c:pt>
                <c:pt idx="113">
                  <c:v>1</c:v>
                </c:pt>
                <c:pt idx="114">
                  <c:v>3</c:v>
                </c:pt>
                <c:pt idx="115">
                  <c:v>2</c:v>
                </c:pt>
                <c:pt idx="116">
                  <c:v>8</c:v>
                </c:pt>
                <c:pt idx="117">
                  <c:v>3</c:v>
                </c:pt>
                <c:pt idx="118">
                  <c:v>3</c:v>
                </c:pt>
                <c:pt idx="119">
                  <c:v>1</c:v>
                </c:pt>
                <c:pt idx="120">
                  <c:v>3</c:v>
                </c:pt>
                <c:pt idx="121">
                  <c:v>5</c:v>
                </c:pt>
                <c:pt idx="122">
                  <c:v>13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2</c:v>
                </c:pt>
                <c:pt idx="128">
                  <c:v>2</c:v>
                </c:pt>
                <c:pt idx="129">
                  <c:v>5</c:v>
                </c:pt>
                <c:pt idx="130">
                  <c:v>2</c:v>
                </c:pt>
                <c:pt idx="131">
                  <c:v>4</c:v>
                </c:pt>
                <c:pt idx="132">
                  <c:v>2</c:v>
                </c:pt>
                <c:pt idx="133">
                  <c:v>2</c:v>
                </c:pt>
                <c:pt idx="134">
                  <c:v>3</c:v>
                </c:pt>
                <c:pt idx="135">
                  <c:v>5</c:v>
                </c:pt>
                <c:pt idx="136">
                  <c:v>7</c:v>
                </c:pt>
                <c:pt idx="137">
                  <c:v>3</c:v>
                </c:pt>
                <c:pt idx="138">
                  <c:v>3</c:v>
                </c:pt>
                <c:pt idx="139">
                  <c:v>1</c:v>
                </c:pt>
                <c:pt idx="140">
                  <c:v>5</c:v>
                </c:pt>
                <c:pt idx="141">
                  <c:v>2</c:v>
                </c:pt>
                <c:pt idx="142">
                  <c:v>3</c:v>
                </c:pt>
                <c:pt idx="143">
                  <c:v>1</c:v>
                </c:pt>
                <c:pt idx="144">
                  <c:v>1</c:v>
                </c:pt>
                <c:pt idx="145">
                  <c:v>3</c:v>
                </c:pt>
                <c:pt idx="146">
                  <c:v>1</c:v>
                </c:pt>
                <c:pt idx="147">
                  <c:v>6</c:v>
                </c:pt>
                <c:pt idx="148">
                  <c:v>3</c:v>
                </c:pt>
                <c:pt idx="149">
                  <c:v>3</c:v>
                </c:pt>
                <c:pt idx="150">
                  <c:v>1</c:v>
                </c:pt>
                <c:pt idx="151">
                  <c:v>5</c:v>
                </c:pt>
                <c:pt idx="152">
                  <c:v>3</c:v>
                </c:pt>
                <c:pt idx="153">
                  <c:v>3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5</c:v>
                </c:pt>
                <c:pt idx="161">
                  <c:v>3</c:v>
                </c:pt>
                <c:pt idx="162">
                  <c:v>3</c:v>
                </c:pt>
                <c:pt idx="163">
                  <c:v>5</c:v>
                </c:pt>
                <c:pt idx="164">
                  <c:v>1</c:v>
                </c:pt>
                <c:pt idx="165">
                  <c:v>2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1</c:v>
                </c:pt>
                <c:pt idx="170">
                  <c:v>6</c:v>
                </c:pt>
                <c:pt idx="171">
                  <c:v>2</c:v>
                </c:pt>
                <c:pt idx="172">
                  <c:v>4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4</c:v>
                </c:pt>
                <c:pt idx="177">
                  <c:v>3</c:v>
                </c:pt>
                <c:pt idx="178">
                  <c:v>5</c:v>
                </c:pt>
                <c:pt idx="179">
                  <c:v>5</c:v>
                </c:pt>
                <c:pt idx="180">
                  <c:v>3</c:v>
                </c:pt>
                <c:pt idx="181">
                  <c:v>3</c:v>
                </c:pt>
                <c:pt idx="182">
                  <c:v>1</c:v>
                </c:pt>
                <c:pt idx="183">
                  <c:v>3</c:v>
                </c:pt>
                <c:pt idx="184">
                  <c:v>2</c:v>
                </c:pt>
                <c:pt idx="185">
                  <c:v>3</c:v>
                </c:pt>
                <c:pt idx="186">
                  <c:v>4</c:v>
                </c:pt>
                <c:pt idx="187">
                  <c:v>2</c:v>
                </c:pt>
                <c:pt idx="188">
                  <c:v>5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1</c:v>
                </c:pt>
                <c:pt idx="193">
                  <c:v>3</c:v>
                </c:pt>
                <c:pt idx="194">
                  <c:v>1</c:v>
                </c:pt>
                <c:pt idx="195">
                  <c:v>7</c:v>
                </c:pt>
                <c:pt idx="196">
                  <c:v>3</c:v>
                </c:pt>
                <c:pt idx="197">
                  <c:v>2</c:v>
                </c:pt>
                <c:pt idx="198">
                  <c:v>3</c:v>
                </c:pt>
                <c:pt idx="199">
                  <c:v>5</c:v>
                </c:pt>
              </c:numCache>
            </c:numRef>
          </c:xVal>
          <c:yVal>
            <c:numRef>
              <c:f>Данные!$F$2:$F$201</c:f>
              <c:numCache>
                <c:formatCode>General</c:formatCode>
                <c:ptCount val="200"/>
                <c:pt idx="0">
                  <c:v>27</c:v>
                </c:pt>
                <c:pt idx="1">
                  <c:v>56</c:v>
                </c:pt>
                <c:pt idx="2">
                  <c:v>35</c:v>
                </c:pt>
                <c:pt idx="3">
                  <c:v>64</c:v>
                </c:pt>
                <c:pt idx="4">
                  <c:v>50</c:v>
                </c:pt>
                <c:pt idx="5">
                  <c:v>26</c:v>
                </c:pt>
                <c:pt idx="6">
                  <c:v>49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65</c:v>
                </c:pt>
                <c:pt idx="11">
                  <c:v>60</c:v>
                </c:pt>
                <c:pt idx="12">
                  <c:v>73</c:v>
                </c:pt>
                <c:pt idx="13">
                  <c:v>42</c:v>
                </c:pt>
                <c:pt idx="14">
                  <c:v>39</c:v>
                </c:pt>
                <c:pt idx="15">
                  <c:v>26</c:v>
                </c:pt>
                <c:pt idx="16">
                  <c:v>23</c:v>
                </c:pt>
                <c:pt idx="17">
                  <c:v>70</c:v>
                </c:pt>
                <c:pt idx="18">
                  <c:v>34</c:v>
                </c:pt>
                <c:pt idx="19">
                  <c:v>53</c:v>
                </c:pt>
                <c:pt idx="20">
                  <c:v>28</c:v>
                </c:pt>
                <c:pt idx="21">
                  <c:v>50</c:v>
                </c:pt>
                <c:pt idx="22">
                  <c:v>53</c:v>
                </c:pt>
                <c:pt idx="23">
                  <c:v>41</c:v>
                </c:pt>
                <c:pt idx="24">
                  <c:v>37</c:v>
                </c:pt>
                <c:pt idx="25">
                  <c:v>50</c:v>
                </c:pt>
                <c:pt idx="26">
                  <c:v>21</c:v>
                </c:pt>
                <c:pt idx="27">
                  <c:v>31</c:v>
                </c:pt>
                <c:pt idx="28">
                  <c:v>32</c:v>
                </c:pt>
                <c:pt idx="29">
                  <c:v>56</c:v>
                </c:pt>
                <c:pt idx="30">
                  <c:v>28</c:v>
                </c:pt>
                <c:pt idx="31">
                  <c:v>45</c:v>
                </c:pt>
                <c:pt idx="32">
                  <c:v>73</c:v>
                </c:pt>
                <c:pt idx="33">
                  <c:v>32</c:v>
                </c:pt>
                <c:pt idx="34">
                  <c:v>18</c:v>
                </c:pt>
                <c:pt idx="35">
                  <c:v>18</c:v>
                </c:pt>
                <c:pt idx="36">
                  <c:v>37</c:v>
                </c:pt>
                <c:pt idx="37">
                  <c:v>39</c:v>
                </c:pt>
                <c:pt idx="38">
                  <c:v>54</c:v>
                </c:pt>
                <c:pt idx="39">
                  <c:v>30</c:v>
                </c:pt>
                <c:pt idx="40">
                  <c:v>53</c:v>
                </c:pt>
                <c:pt idx="41">
                  <c:v>29</c:v>
                </c:pt>
                <c:pt idx="42">
                  <c:v>42</c:v>
                </c:pt>
                <c:pt idx="43">
                  <c:v>40</c:v>
                </c:pt>
                <c:pt idx="44">
                  <c:v>40</c:v>
                </c:pt>
                <c:pt idx="45">
                  <c:v>62</c:v>
                </c:pt>
                <c:pt idx="46">
                  <c:v>44</c:v>
                </c:pt>
                <c:pt idx="47">
                  <c:v>28</c:v>
                </c:pt>
                <c:pt idx="48">
                  <c:v>40</c:v>
                </c:pt>
                <c:pt idx="49">
                  <c:v>43</c:v>
                </c:pt>
                <c:pt idx="50">
                  <c:v>24</c:v>
                </c:pt>
                <c:pt idx="51">
                  <c:v>40</c:v>
                </c:pt>
                <c:pt idx="52">
                  <c:v>27</c:v>
                </c:pt>
                <c:pt idx="53">
                  <c:v>54</c:v>
                </c:pt>
                <c:pt idx="54">
                  <c:v>47</c:v>
                </c:pt>
                <c:pt idx="55">
                  <c:v>47</c:v>
                </c:pt>
                <c:pt idx="56">
                  <c:v>43</c:v>
                </c:pt>
                <c:pt idx="57">
                  <c:v>52</c:v>
                </c:pt>
                <c:pt idx="58">
                  <c:v>30</c:v>
                </c:pt>
                <c:pt idx="59">
                  <c:v>25</c:v>
                </c:pt>
                <c:pt idx="60">
                  <c:v>35</c:v>
                </c:pt>
                <c:pt idx="61">
                  <c:v>45</c:v>
                </c:pt>
                <c:pt idx="62">
                  <c:v>58</c:v>
                </c:pt>
                <c:pt idx="63">
                  <c:v>44</c:v>
                </c:pt>
                <c:pt idx="64">
                  <c:v>48</c:v>
                </c:pt>
                <c:pt idx="65">
                  <c:v>35</c:v>
                </c:pt>
                <c:pt idx="66">
                  <c:v>42</c:v>
                </c:pt>
                <c:pt idx="67">
                  <c:v>62</c:v>
                </c:pt>
                <c:pt idx="68">
                  <c:v>60</c:v>
                </c:pt>
                <c:pt idx="69">
                  <c:v>32</c:v>
                </c:pt>
                <c:pt idx="70">
                  <c:v>26</c:v>
                </c:pt>
                <c:pt idx="71">
                  <c:v>35</c:v>
                </c:pt>
                <c:pt idx="72">
                  <c:v>53</c:v>
                </c:pt>
                <c:pt idx="73">
                  <c:v>44</c:v>
                </c:pt>
                <c:pt idx="74">
                  <c:v>23</c:v>
                </c:pt>
                <c:pt idx="75">
                  <c:v>24</c:v>
                </c:pt>
                <c:pt idx="76">
                  <c:v>36</c:v>
                </c:pt>
                <c:pt idx="77">
                  <c:v>31</c:v>
                </c:pt>
                <c:pt idx="78">
                  <c:v>47</c:v>
                </c:pt>
                <c:pt idx="79">
                  <c:v>27</c:v>
                </c:pt>
                <c:pt idx="80">
                  <c:v>35</c:v>
                </c:pt>
                <c:pt idx="81">
                  <c:v>25</c:v>
                </c:pt>
                <c:pt idx="82">
                  <c:v>41</c:v>
                </c:pt>
                <c:pt idx="83">
                  <c:v>47</c:v>
                </c:pt>
                <c:pt idx="84">
                  <c:v>41</c:v>
                </c:pt>
                <c:pt idx="85">
                  <c:v>39</c:v>
                </c:pt>
                <c:pt idx="86">
                  <c:v>35</c:v>
                </c:pt>
                <c:pt idx="87">
                  <c:v>47</c:v>
                </c:pt>
                <c:pt idx="88">
                  <c:v>34</c:v>
                </c:pt>
                <c:pt idx="89">
                  <c:v>33</c:v>
                </c:pt>
                <c:pt idx="90">
                  <c:v>39</c:v>
                </c:pt>
                <c:pt idx="91">
                  <c:v>48</c:v>
                </c:pt>
                <c:pt idx="92">
                  <c:v>33</c:v>
                </c:pt>
                <c:pt idx="93">
                  <c:v>27</c:v>
                </c:pt>
                <c:pt idx="94">
                  <c:v>64</c:v>
                </c:pt>
                <c:pt idx="95">
                  <c:v>42</c:v>
                </c:pt>
                <c:pt idx="96">
                  <c:v>24</c:v>
                </c:pt>
                <c:pt idx="97">
                  <c:v>58</c:v>
                </c:pt>
                <c:pt idx="98">
                  <c:v>60</c:v>
                </c:pt>
                <c:pt idx="99">
                  <c:v>35</c:v>
                </c:pt>
                <c:pt idx="100">
                  <c:v>51</c:v>
                </c:pt>
                <c:pt idx="101">
                  <c:v>70</c:v>
                </c:pt>
                <c:pt idx="102">
                  <c:v>30</c:v>
                </c:pt>
                <c:pt idx="103">
                  <c:v>43</c:v>
                </c:pt>
                <c:pt idx="104">
                  <c:v>47</c:v>
                </c:pt>
                <c:pt idx="105">
                  <c:v>30</c:v>
                </c:pt>
                <c:pt idx="106">
                  <c:v>28</c:v>
                </c:pt>
                <c:pt idx="107">
                  <c:v>37</c:v>
                </c:pt>
                <c:pt idx="108">
                  <c:v>32</c:v>
                </c:pt>
                <c:pt idx="109">
                  <c:v>59</c:v>
                </c:pt>
                <c:pt idx="110">
                  <c:v>56</c:v>
                </c:pt>
                <c:pt idx="111">
                  <c:v>49</c:v>
                </c:pt>
                <c:pt idx="112">
                  <c:v>59</c:v>
                </c:pt>
                <c:pt idx="113">
                  <c:v>36</c:v>
                </c:pt>
                <c:pt idx="114">
                  <c:v>35</c:v>
                </c:pt>
                <c:pt idx="115">
                  <c:v>42</c:v>
                </c:pt>
                <c:pt idx="116">
                  <c:v>26</c:v>
                </c:pt>
                <c:pt idx="117">
                  <c:v>28</c:v>
                </c:pt>
                <c:pt idx="118">
                  <c:v>21</c:v>
                </c:pt>
                <c:pt idx="119">
                  <c:v>65</c:v>
                </c:pt>
                <c:pt idx="120">
                  <c:v>30</c:v>
                </c:pt>
                <c:pt idx="121">
                  <c:v>34</c:v>
                </c:pt>
                <c:pt idx="122">
                  <c:v>35</c:v>
                </c:pt>
                <c:pt idx="123">
                  <c:v>34</c:v>
                </c:pt>
                <c:pt idx="124">
                  <c:v>30</c:v>
                </c:pt>
                <c:pt idx="125">
                  <c:v>62</c:v>
                </c:pt>
                <c:pt idx="126">
                  <c:v>35</c:v>
                </c:pt>
                <c:pt idx="127">
                  <c:v>48</c:v>
                </c:pt>
                <c:pt idx="128">
                  <c:v>48</c:v>
                </c:pt>
                <c:pt idx="129">
                  <c:v>44</c:v>
                </c:pt>
                <c:pt idx="130">
                  <c:v>52</c:v>
                </c:pt>
                <c:pt idx="131">
                  <c:v>56</c:v>
                </c:pt>
                <c:pt idx="132">
                  <c:v>30</c:v>
                </c:pt>
                <c:pt idx="133">
                  <c:v>52</c:v>
                </c:pt>
                <c:pt idx="134">
                  <c:v>40</c:v>
                </c:pt>
                <c:pt idx="135">
                  <c:v>49</c:v>
                </c:pt>
                <c:pt idx="136">
                  <c:v>57</c:v>
                </c:pt>
                <c:pt idx="137">
                  <c:v>51</c:v>
                </c:pt>
                <c:pt idx="138">
                  <c:v>51</c:v>
                </c:pt>
                <c:pt idx="139">
                  <c:v>41</c:v>
                </c:pt>
                <c:pt idx="140">
                  <c:v>59</c:v>
                </c:pt>
                <c:pt idx="141">
                  <c:v>27</c:v>
                </c:pt>
                <c:pt idx="142">
                  <c:v>37</c:v>
                </c:pt>
                <c:pt idx="143">
                  <c:v>42</c:v>
                </c:pt>
                <c:pt idx="144">
                  <c:v>35</c:v>
                </c:pt>
                <c:pt idx="145">
                  <c:v>50</c:v>
                </c:pt>
                <c:pt idx="146">
                  <c:v>40</c:v>
                </c:pt>
                <c:pt idx="147">
                  <c:v>27</c:v>
                </c:pt>
                <c:pt idx="148">
                  <c:v>34</c:v>
                </c:pt>
                <c:pt idx="149">
                  <c:v>31</c:v>
                </c:pt>
                <c:pt idx="150">
                  <c:v>39</c:v>
                </c:pt>
                <c:pt idx="151">
                  <c:v>29</c:v>
                </c:pt>
                <c:pt idx="152">
                  <c:v>59</c:v>
                </c:pt>
                <c:pt idx="153">
                  <c:v>27</c:v>
                </c:pt>
                <c:pt idx="154">
                  <c:v>22</c:v>
                </c:pt>
                <c:pt idx="155">
                  <c:v>35</c:v>
                </c:pt>
                <c:pt idx="156">
                  <c:v>59</c:v>
                </c:pt>
                <c:pt idx="157">
                  <c:v>30</c:v>
                </c:pt>
                <c:pt idx="158">
                  <c:v>25</c:v>
                </c:pt>
                <c:pt idx="159">
                  <c:v>52</c:v>
                </c:pt>
                <c:pt idx="160">
                  <c:v>31</c:v>
                </c:pt>
                <c:pt idx="161">
                  <c:v>43</c:v>
                </c:pt>
                <c:pt idx="162">
                  <c:v>50</c:v>
                </c:pt>
                <c:pt idx="163">
                  <c:v>59</c:v>
                </c:pt>
                <c:pt idx="164">
                  <c:v>42</c:v>
                </c:pt>
                <c:pt idx="165">
                  <c:v>25</c:v>
                </c:pt>
                <c:pt idx="166">
                  <c:v>27</c:v>
                </c:pt>
                <c:pt idx="167">
                  <c:v>35</c:v>
                </c:pt>
                <c:pt idx="168">
                  <c:v>58</c:v>
                </c:pt>
                <c:pt idx="169">
                  <c:v>42</c:v>
                </c:pt>
                <c:pt idx="170">
                  <c:v>60</c:v>
                </c:pt>
                <c:pt idx="171">
                  <c:v>42</c:v>
                </c:pt>
                <c:pt idx="172">
                  <c:v>62</c:v>
                </c:pt>
                <c:pt idx="173">
                  <c:v>73</c:v>
                </c:pt>
                <c:pt idx="174">
                  <c:v>39</c:v>
                </c:pt>
                <c:pt idx="175">
                  <c:v>26</c:v>
                </c:pt>
                <c:pt idx="176">
                  <c:v>22</c:v>
                </c:pt>
                <c:pt idx="177">
                  <c:v>42</c:v>
                </c:pt>
                <c:pt idx="178">
                  <c:v>53</c:v>
                </c:pt>
                <c:pt idx="179">
                  <c:v>40</c:v>
                </c:pt>
                <c:pt idx="180">
                  <c:v>51</c:v>
                </c:pt>
                <c:pt idx="181">
                  <c:v>26</c:v>
                </c:pt>
                <c:pt idx="182">
                  <c:v>26</c:v>
                </c:pt>
                <c:pt idx="183">
                  <c:v>51</c:v>
                </c:pt>
                <c:pt idx="184">
                  <c:v>51</c:v>
                </c:pt>
                <c:pt idx="185">
                  <c:v>40</c:v>
                </c:pt>
                <c:pt idx="186">
                  <c:v>47</c:v>
                </c:pt>
                <c:pt idx="187">
                  <c:v>73</c:v>
                </c:pt>
                <c:pt idx="188">
                  <c:v>34</c:v>
                </c:pt>
                <c:pt idx="189">
                  <c:v>49</c:v>
                </c:pt>
                <c:pt idx="190">
                  <c:v>58</c:v>
                </c:pt>
                <c:pt idx="191">
                  <c:v>24</c:v>
                </c:pt>
                <c:pt idx="192">
                  <c:v>50</c:v>
                </c:pt>
                <c:pt idx="193">
                  <c:v>28</c:v>
                </c:pt>
                <c:pt idx="194">
                  <c:v>36</c:v>
                </c:pt>
                <c:pt idx="195">
                  <c:v>57</c:v>
                </c:pt>
                <c:pt idx="196">
                  <c:v>26</c:v>
                </c:pt>
                <c:pt idx="197">
                  <c:v>53</c:v>
                </c:pt>
                <c:pt idx="198">
                  <c:v>34</c:v>
                </c:pt>
                <c:pt idx="199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7E-4000-A883-AB1F1946C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73376"/>
        <c:axId val="818778296"/>
      </c:scatterChart>
      <c:valAx>
        <c:axId val="81877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полетов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8778296"/>
        <c:crosses val="autoZero"/>
        <c:crossBetween val="midCat"/>
      </c:valAx>
      <c:valAx>
        <c:axId val="81877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Возраст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87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Зависимость числа полетов от </a:t>
            </a:r>
            <a:r>
              <a:rPr lang="ru-RU"/>
              <a:t>годового дохода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039689808216505"/>
          <c:y val="0.1726794258373206"/>
          <c:w val="0.82025003928879159"/>
          <c:h val="0.61007987039897527"/>
        </c:manualLayout>
      </c:layout>
      <c:scatterChart>
        <c:scatterStyle val="lineMarker"/>
        <c:varyColors val="0"/>
        <c:ser>
          <c:idx val="0"/>
          <c:order val="0"/>
          <c:tx>
            <c:strRef>
              <c:f>Данные!$E$1</c:f>
              <c:strCache>
                <c:ptCount val="1"/>
                <c:pt idx="0">
                  <c:v>годовой доход, тыс. руб.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Данные!$A$2:$A$201</c:f>
              <c:numCache>
                <c:formatCode>General</c:formatCode>
                <c:ptCount val="20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9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4</c:v>
                </c:pt>
                <c:pt idx="17">
                  <c:v>8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6</c:v>
                </c:pt>
                <c:pt idx="37">
                  <c:v>4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5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5</c:v>
                </c:pt>
                <c:pt idx="49">
                  <c:v>3</c:v>
                </c:pt>
                <c:pt idx="50">
                  <c:v>1</c:v>
                </c:pt>
                <c:pt idx="51">
                  <c:v>1</c:v>
                </c:pt>
                <c:pt idx="52">
                  <c:v>6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1</c:v>
                </c:pt>
                <c:pt idx="60">
                  <c:v>10</c:v>
                </c:pt>
                <c:pt idx="61">
                  <c:v>4</c:v>
                </c:pt>
                <c:pt idx="62">
                  <c:v>3</c:v>
                </c:pt>
                <c:pt idx="63">
                  <c:v>5</c:v>
                </c:pt>
                <c:pt idx="64">
                  <c:v>3</c:v>
                </c:pt>
                <c:pt idx="65">
                  <c:v>10</c:v>
                </c:pt>
                <c:pt idx="66">
                  <c:v>2</c:v>
                </c:pt>
                <c:pt idx="67">
                  <c:v>4</c:v>
                </c:pt>
                <c:pt idx="68">
                  <c:v>6</c:v>
                </c:pt>
                <c:pt idx="69">
                  <c:v>5</c:v>
                </c:pt>
                <c:pt idx="70">
                  <c:v>1</c:v>
                </c:pt>
                <c:pt idx="71">
                  <c:v>13</c:v>
                </c:pt>
                <c:pt idx="72">
                  <c:v>5</c:v>
                </c:pt>
                <c:pt idx="73">
                  <c:v>2</c:v>
                </c:pt>
                <c:pt idx="74">
                  <c:v>4</c:v>
                </c:pt>
                <c:pt idx="75">
                  <c:v>1</c:v>
                </c:pt>
                <c:pt idx="76">
                  <c:v>3</c:v>
                </c:pt>
                <c:pt idx="77">
                  <c:v>5</c:v>
                </c:pt>
                <c:pt idx="78">
                  <c:v>5</c:v>
                </c:pt>
                <c:pt idx="79">
                  <c:v>7</c:v>
                </c:pt>
                <c:pt idx="80">
                  <c:v>1</c:v>
                </c:pt>
                <c:pt idx="81">
                  <c:v>1</c:v>
                </c:pt>
                <c:pt idx="82">
                  <c:v>3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1</c:v>
                </c:pt>
                <c:pt idx="88">
                  <c:v>3</c:v>
                </c:pt>
                <c:pt idx="89">
                  <c:v>1</c:v>
                </c:pt>
                <c:pt idx="90">
                  <c:v>3</c:v>
                </c:pt>
                <c:pt idx="91">
                  <c:v>3</c:v>
                </c:pt>
                <c:pt idx="92">
                  <c:v>1</c:v>
                </c:pt>
                <c:pt idx="93">
                  <c:v>7</c:v>
                </c:pt>
                <c:pt idx="94">
                  <c:v>9</c:v>
                </c:pt>
                <c:pt idx="95">
                  <c:v>1</c:v>
                </c:pt>
                <c:pt idx="96">
                  <c:v>3</c:v>
                </c:pt>
                <c:pt idx="97">
                  <c:v>3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8</c:v>
                </c:pt>
                <c:pt idx="102">
                  <c:v>2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3</c:v>
                </c:pt>
                <c:pt idx="107">
                  <c:v>6</c:v>
                </c:pt>
                <c:pt idx="108">
                  <c:v>5</c:v>
                </c:pt>
                <c:pt idx="109">
                  <c:v>3</c:v>
                </c:pt>
                <c:pt idx="110">
                  <c:v>4</c:v>
                </c:pt>
                <c:pt idx="111">
                  <c:v>5</c:v>
                </c:pt>
                <c:pt idx="112">
                  <c:v>3</c:v>
                </c:pt>
                <c:pt idx="113">
                  <c:v>1</c:v>
                </c:pt>
                <c:pt idx="114">
                  <c:v>3</c:v>
                </c:pt>
                <c:pt idx="115">
                  <c:v>2</c:v>
                </c:pt>
                <c:pt idx="116">
                  <c:v>8</c:v>
                </c:pt>
                <c:pt idx="117">
                  <c:v>3</c:v>
                </c:pt>
                <c:pt idx="118">
                  <c:v>3</c:v>
                </c:pt>
                <c:pt idx="119">
                  <c:v>1</c:v>
                </c:pt>
                <c:pt idx="120">
                  <c:v>3</c:v>
                </c:pt>
                <c:pt idx="121">
                  <c:v>5</c:v>
                </c:pt>
                <c:pt idx="122">
                  <c:v>13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2</c:v>
                </c:pt>
                <c:pt idx="128">
                  <c:v>2</c:v>
                </c:pt>
                <c:pt idx="129">
                  <c:v>5</c:v>
                </c:pt>
                <c:pt idx="130">
                  <c:v>2</c:v>
                </c:pt>
                <c:pt idx="131">
                  <c:v>4</c:v>
                </c:pt>
                <c:pt idx="132">
                  <c:v>2</c:v>
                </c:pt>
                <c:pt idx="133">
                  <c:v>2</c:v>
                </c:pt>
                <c:pt idx="134">
                  <c:v>3</c:v>
                </c:pt>
                <c:pt idx="135">
                  <c:v>5</c:v>
                </c:pt>
                <c:pt idx="136">
                  <c:v>7</c:v>
                </c:pt>
                <c:pt idx="137">
                  <c:v>3</c:v>
                </c:pt>
                <c:pt idx="138">
                  <c:v>3</c:v>
                </c:pt>
                <c:pt idx="139">
                  <c:v>1</c:v>
                </c:pt>
                <c:pt idx="140">
                  <c:v>5</c:v>
                </c:pt>
                <c:pt idx="141">
                  <c:v>2</c:v>
                </c:pt>
                <c:pt idx="142">
                  <c:v>3</c:v>
                </c:pt>
                <c:pt idx="143">
                  <c:v>1</c:v>
                </c:pt>
                <c:pt idx="144">
                  <c:v>1</c:v>
                </c:pt>
                <c:pt idx="145">
                  <c:v>3</c:v>
                </c:pt>
                <c:pt idx="146">
                  <c:v>1</c:v>
                </c:pt>
                <c:pt idx="147">
                  <c:v>6</c:v>
                </c:pt>
                <c:pt idx="148">
                  <c:v>3</c:v>
                </c:pt>
                <c:pt idx="149">
                  <c:v>3</c:v>
                </c:pt>
                <c:pt idx="150">
                  <c:v>1</c:v>
                </c:pt>
                <c:pt idx="151">
                  <c:v>5</c:v>
                </c:pt>
                <c:pt idx="152">
                  <c:v>3</c:v>
                </c:pt>
                <c:pt idx="153">
                  <c:v>3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5</c:v>
                </c:pt>
                <c:pt idx="161">
                  <c:v>3</c:v>
                </c:pt>
                <c:pt idx="162">
                  <c:v>3</c:v>
                </c:pt>
                <c:pt idx="163">
                  <c:v>5</c:v>
                </c:pt>
                <c:pt idx="164">
                  <c:v>1</c:v>
                </c:pt>
                <c:pt idx="165">
                  <c:v>2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1</c:v>
                </c:pt>
                <c:pt idx="170">
                  <c:v>6</c:v>
                </c:pt>
                <c:pt idx="171">
                  <c:v>2</c:v>
                </c:pt>
                <c:pt idx="172">
                  <c:v>4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4</c:v>
                </c:pt>
                <c:pt idx="177">
                  <c:v>3</c:v>
                </c:pt>
                <c:pt idx="178">
                  <c:v>5</c:v>
                </c:pt>
                <c:pt idx="179">
                  <c:v>5</c:v>
                </c:pt>
                <c:pt idx="180">
                  <c:v>3</c:v>
                </c:pt>
                <c:pt idx="181">
                  <c:v>3</c:v>
                </c:pt>
                <c:pt idx="182">
                  <c:v>1</c:v>
                </c:pt>
                <c:pt idx="183">
                  <c:v>3</c:v>
                </c:pt>
                <c:pt idx="184">
                  <c:v>2</c:v>
                </c:pt>
                <c:pt idx="185">
                  <c:v>3</c:v>
                </c:pt>
                <c:pt idx="186">
                  <c:v>4</c:v>
                </c:pt>
                <c:pt idx="187">
                  <c:v>2</c:v>
                </c:pt>
                <c:pt idx="188">
                  <c:v>5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1</c:v>
                </c:pt>
                <c:pt idx="193">
                  <c:v>3</c:v>
                </c:pt>
                <c:pt idx="194">
                  <c:v>1</c:v>
                </c:pt>
                <c:pt idx="195">
                  <c:v>7</c:v>
                </c:pt>
                <c:pt idx="196">
                  <c:v>3</c:v>
                </c:pt>
                <c:pt idx="197">
                  <c:v>2</c:v>
                </c:pt>
                <c:pt idx="198">
                  <c:v>3</c:v>
                </c:pt>
                <c:pt idx="199">
                  <c:v>5</c:v>
                </c:pt>
              </c:numCache>
            </c:numRef>
          </c:xVal>
          <c:yVal>
            <c:numRef>
              <c:f>Данные!$E$2:$E$201</c:f>
              <c:numCache>
                <c:formatCode>General</c:formatCode>
                <c:ptCount val="200"/>
                <c:pt idx="0">
                  <c:v>81</c:v>
                </c:pt>
                <c:pt idx="1">
                  <c:v>108</c:v>
                </c:pt>
                <c:pt idx="2">
                  <c:v>66</c:v>
                </c:pt>
                <c:pt idx="3">
                  <c:v>180</c:v>
                </c:pt>
                <c:pt idx="4">
                  <c:v>81</c:v>
                </c:pt>
                <c:pt idx="5">
                  <c:v>72</c:v>
                </c:pt>
                <c:pt idx="6">
                  <c:v>81</c:v>
                </c:pt>
                <c:pt idx="7">
                  <c:v>93</c:v>
                </c:pt>
                <c:pt idx="8">
                  <c:v>66</c:v>
                </c:pt>
                <c:pt idx="9">
                  <c:v>81</c:v>
                </c:pt>
                <c:pt idx="10">
                  <c:v>57</c:v>
                </c:pt>
                <c:pt idx="11">
                  <c:v>54</c:v>
                </c:pt>
                <c:pt idx="12">
                  <c:v>159</c:v>
                </c:pt>
                <c:pt idx="13">
                  <c:v>54</c:v>
                </c:pt>
                <c:pt idx="14">
                  <c:v>174</c:v>
                </c:pt>
                <c:pt idx="15">
                  <c:v>267</c:v>
                </c:pt>
                <c:pt idx="16">
                  <c:v>186</c:v>
                </c:pt>
                <c:pt idx="17">
                  <c:v>267</c:v>
                </c:pt>
                <c:pt idx="18">
                  <c:v>93</c:v>
                </c:pt>
                <c:pt idx="19">
                  <c:v>108</c:v>
                </c:pt>
                <c:pt idx="20">
                  <c:v>186</c:v>
                </c:pt>
                <c:pt idx="21">
                  <c:v>57</c:v>
                </c:pt>
                <c:pt idx="22">
                  <c:v>66</c:v>
                </c:pt>
                <c:pt idx="23">
                  <c:v>99</c:v>
                </c:pt>
                <c:pt idx="24">
                  <c:v>66</c:v>
                </c:pt>
                <c:pt idx="25">
                  <c:v>108</c:v>
                </c:pt>
                <c:pt idx="26">
                  <c:v>108</c:v>
                </c:pt>
                <c:pt idx="27">
                  <c:v>81</c:v>
                </c:pt>
                <c:pt idx="28">
                  <c:v>57</c:v>
                </c:pt>
                <c:pt idx="29">
                  <c:v>108</c:v>
                </c:pt>
                <c:pt idx="30">
                  <c:v>108</c:v>
                </c:pt>
                <c:pt idx="31">
                  <c:v>108</c:v>
                </c:pt>
                <c:pt idx="32">
                  <c:v>159</c:v>
                </c:pt>
                <c:pt idx="33">
                  <c:v>57</c:v>
                </c:pt>
                <c:pt idx="34">
                  <c:v>93</c:v>
                </c:pt>
                <c:pt idx="35">
                  <c:v>93</c:v>
                </c:pt>
                <c:pt idx="36">
                  <c:v>186</c:v>
                </c:pt>
                <c:pt idx="37">
                  <c:v>174</c:v>
                </c:pt>
                <c:pt idx="38">
                  <c:v>132</c:v>
                </c:pt>
                <c:pt idx="39">
                  <c:v>81</c:v>
                </c:pt>
                <c:pt idx="40">
                  <c:v>66</c:v>
                </c:pt>
                <c:pt idx="41">
                  <c:v>159</c:v>
                </c:pt>
                <c:pt idx="42">
                  <c:v>108</c:v>
                </c:pt>
                <c:pt idx="43">
                  <c:v>54</c:v>
                </c:pt>
                <c:pt idx="44">
                  <c:v>57</c:v>
                </c:pt>
                <c:pt idx="45">
                  <c:v>54</c:v>
                </c:pt>
                <c:pt idx="46">
                  <c:v>93</c:v>
                </c:pt>
                <c:pt idx="47">
                  <c:v>159</c:v>
                </c:pt>
                <c:pt idx="48">
                  <c:v>213</c:v>
                </c:pt>
                <c:pt idx="49">
                  <c:v>81</c:v>
                </c:pt>
                <c:pt idx="50">
                  <c:v>108</c:v>
                </c:pt>
                <c:pt idx="51">
                  <c:v>54</c:v>
                </c:pt>
                <c:pt idx="52">
                  <c:v>240</c:v>
                </c:pt>
                <c:pt idx="53">
                  <c:v>132</c:v>
                </c:pt>
                <c:pt idx="54">
                  <c:v>81</c:v>
                </c:pt>
                <c:pt idx="55">
                  <c:v>81</c:v>
                </c:pt>
                <c:pt idx="56">
                  <c:v>81</c:v>
                </c:pt>
                <c:pt idx="57">
                  <c:v>108</c:v>
                </c:pt>
                <c:pt idx="58">
                  <c:v>132</c:v>
                </c:pt>
                <c:pt idx="59">
                  <c:v>54</c:v>
                </c:pt>
                <c:pt idx="60">
                  <c:v>240</c:v>
                </c:pt>
                <c:pt idx="61">
                  <c:v>108</c:v>
                </c:pt>
                <c:pt idx="62">
                  <c:v>60</c:v>
                </c:pt>
                <c:pt idx="63">
                  <c:v>93</c:v>
                </c:pt>
                <c:pt idx="64">
                  <c:v>132</c:v>
                </c:pt>
                <c:pt idx="65">
                  <c:v>240</c:v>
                </c:pt>
                <c:pt idx="66">
                  <c:v>108</c:v>
                </c:pt>
                <c:pt idx="67">
                  <c:v>132</c:v>
                </c:pt>
                <c:pt idx="68">
                  <c:v>159</c:v>
                </c:pt>
                <c:pt idx="69">
                  <c:v>174</c:v>
                </c:pt>
                <c:pt idx="70">
                  <c:v>108</c:v>
                </c:pt>
                <c:pt idx="71">
                  <c:v>321</c:v>
                </c:pt>
                <c:pt idx="72">
                  <c:v>186</c:v>
                </c:pt>
                <c:pt idx="73">
                  <c:v>93</c:v>
                </c:pt>
                <c:pt idx="74">
                  <c:v>186</c:v>
                </c:pt>
                <c:pt idx="75">
                  <c:v>108</c:v>
                </c:pt>
                <c:pt idx="76">
                  <c:v>81</c:v>
                </c:pt>
                <c:pt idx="77">
                  <c:v>201</c:v>
                </c:pt>
                <c:pt idx="78">
                  <c:v>159</c:v>
                </c:pt>
                <c:pt idx="79">
                  <c:v>240</c:v>
                </c:pt>
                <c:pt idx="80">
                  <c:v>66</c:v>
                </c:pt>
                <c:pt idx="81">
                  <c:v>54</c:v>
                </c:pt>
                <c:pt idx="82">
                  <c:v>99</c:v>
                </c:pt>
                <c:pt idx="83">
                  <c:v>81</c:v>
                </c:pt>
                <c:pt idx="84">
                  <c:v>54</c:v>
                </c:pt>
                <c:pt idx="85">
                  <c:v>39</c:v>
                </c:pt>
                <c:pt idx="86">
                  <c:v>120</c:v>
                </c:pt>
                <c:pt idx="87">
                  <c:v>81</c:v>
                </c:pt>
                <c:pt idx="88">
                  <c:v>66</c:v>
                </c:pt>
                <c:pt idx="89">
                  <c:v>54</c:v>
                </c:pt>
                <c:pt idx="90">
                  <c:v>39</c:v>
                </c:pt>
                <c:pt idx="91">
                  <c:v>132</c:v>
                </c:pt>
                <c:pt idx="92">
                  <c:v>54</c:v>
                </c:pt>
                <c:pt idx="93">
                  <c:v>240</c:v>
                </c:pt>
                <c:pt idx="94">
                  <c:v>180</c:v>
                </c:pt>
                <c:pt idx="95">
                  <c:v>132</c:v>
                </c:pt>
                <c:pt idx="96">
                  <c:v>108</c:v>
                </c:pt>
                <c:pt idx="97">
                  <c:v>60</c:v>
                </c:pt>
                <c:pt idx="98">
                  <c:v>54</c:v>
                </c:pt>
                <c:pt idx="99">
                  <c:v>39</c:v>
                </c:pt>
                <c:pt idx="100">
                  <c:v>66</c:v>
                </c:pt>
                <c:pt idx="101">
                  <c:v>267</c:v>
                </c:pt>
                <c:pt idx="102">
                  <c:v>66</c:v>
                </c:pt>
                <c:pt idx="103">
                  <c:v>108</c:v>
                </c:pt>
                <c:pt idx="104">
                  <c:v>174</c:v>
                </c:pt>
                <c:pt idx="105">
                  <c:v>108</c:v>
                </c:pt>
                <c:pt idx="106">
                  <c:v>186</c:v>
                </c:pt>
                <c:pt idx="107">
                  <c:v>186</c:v>
                </c:pt>
                <c:pt idx="108">
                  <c:v>174</c:v>
                </c:pt>
                <c:pt idx="109">
                  <c:v>81</c:v>
                </c:pt>
                <c:pt idx="110">
                  <c:v>147</c:v>
                </c:pt>
                <c:pt idx="111">
                  <c:v>240</c:v>
                </c:pt>
                <c:pt idx="112">
                  <c:v>81</c:v>
                </c:pt>
                <c:pt idx="113">
                  <c:v>57</c:v>
                </c:pt>
                <c:pt idx="114">
                  <c:v>153</c:v>
                </c:pt>
                <c:pt idx="115">
                  <c:v>108</c:v>
                </c:pt>
                <c:pt idx="116">
                  <c:v>267</c:v>
                </c:pt>
                <c:pt idx="117">
                  <c:v>159</c:v>
                </c:pt>
                <c:pt idx="118">
                  <c:v>108</c:v>
                </c:pt>
                <c:pt idx="119">
                  <c:v>57</c:v>
                </c:pt>
                <c:pt idx="120">
                  <c:v>132</c:v>
                </c:pt>
                <c:pt idx="121">
                  <c:v>132</c:v>
                </c:pt>
                <c:pt idx="122">
                  <c:v>321</c:v>
                </c:pt>
                <c:pt idx="123">
                  <c:v>93</c:v>
                </c:pt>
                <c:pt idx="124">
                  <c:v>108</c:v>
                </c:pt>
                <c:pt idx="125">
                  <c:v>54</c:v>
                </c:pt>
                <c:pt idx="126">
                  <c:v>153</c:v>
                </c:pt>
                <c:pt idx="127">
                  <c:v>81</c:v>
                </c:pt>
                <c:pt idx="128">
                  <c:v>81</c:v>
                </c:pt>
                <c:pt idx="129">
                  <c:v>93</c:v>
                </c:pt>
                <c:pt idx="130">
                  <c:v>54</c:v>
                </c:pt>
                <c:pt idx="131">
                  <c:v>147</c:v>
                </c:pt>
                <c:pt idx="132">
                  <c:v>66</c:v>
                </c:pt>
                <c:pt idx="133">
                  <c:v>54</c:v>
                </c:pt>
                <c:pt idx="134">
                  <c:v>120</c:v>
                </c:pt>
                <c:pt idx="135">
                  <c:v>240</c:v>
                </c:pt>
                <c:pt idx="136">
                  <c:v>201</c:v>
                </c:pt>
                <c:pt idx="137">
                  <c:v>108</c:v>
                </c:pt>
                <c:pt idx="138">
                  <c:v>54</c:v>
                </c:pt>
                <c:pt idx="139">
                  <c:v>54</c:v>
                </c:pt>
                <c:pt idx="140">
                  <c:v>186</c:v>
                </c:pt>
                <c:pt idx="141">
                  <c:v>81</c:v>
                </c:pt>
                <c:pt idx="142">
                  <c:v>66</c:v>
                </c:pt>
                <c:pt idx="143">
                  <c:v>57</c:v>
                </c:pt>
                <c:pt idx="144">
                  <c:v>39</c:v>
                </c:pt>
                <c:pt idx="145">
                  <c:v>108</c:v>
                </c:pt>
                <c:pt idx="146">
                  <c:v>57</c:v>
                </c:pt>
                <c:pt idx="147">
                  <c:v>240</c:v>
                </c:pt>
                <c:pt idx="148">
                  <c:v>66</c:v>
                </c:pt>
                <c:pt idx="149">
                  <c:v>81</c:v>
                </c:pt>
                <c:pt idx="150">
                  <c:v>66</c:v>
                </c:pt>
                <c:pt idx="151">
                  <c:v>159</c:v>
                </c:pt>
                <c:pt idx="152">
                  <c:v>108</c:v>
                </c:pt>
                <c:pt idx="153">
                  <c:v>81</c:v>
                </c:pt>
                <c:pt idx="154">
                  <c:v>159</c:v>
                </c:pt>
                <c:pt idx="155">
                  <c:v>120</c:v>
                </c:pt>
                <c:pt idx="156">
                  <c:v>108</c:v>
                </c:pt>
                <c:pt idx="157">
                  <c:v>81</c:v>
                </c:pt>
                <c:pt idx="158">
                  <c:v>66</c:v>
                </c:pt>
                <c:pt idx="159">
                  <c:v>108</c:v>
                </c:pt>
                <c:pt idx="160">
                  <c:v>201</c:v>
                </c:pt>
                <c:pt idx="161">
                  <c:v>108</c:v>
                </c:pt>
                <c:pt idx="162">
                  <c:v>81</c:v>
                </c:pt>
                <c:pt idx="163">
                  <c:v>186</c:v>
                </c:pt>
                <c:pt idx="164">
                  <c:v>132</c:v>
                </c:pt>
                <c:pt idx="165">
                  <c:v>66</c:v>
                </c:pt>
                <c:pt idx="166">
                  <c:v>81</c:v>
                </c:pt>
                <c:pt idx="167">
                  <c:v>66</c:v>
                </c:pt>
                <c:pt idx="168">
                  <c:v>174</c:v>
                </c:pt>
                <c:pt idx="169">
                  <c:v>57</c:v>
                </c:pt>
                <c:pt idx="170">
                  <c:v>159</c:v>
                </c:pt>
                <c:pt idx="171">
                  <c:v>54</c:v>
                </c:pt>
                <c:pt idx="172">
                  <c:v>132</c:v>
                </c:pt>
                <c:pt idx="173">
                  <c:v>57</c:v>
                </c:pt>
                <c:pt idx="174">
                  <c:v>66</c:v>
                </c:pt>
                <c:pt idx="175">
                  <c:v>159</c:v>
                </c:pt>
                <c:pt idx="176">
                  <c:v>159</c:v>
                </c:pt>
                <c:pt idx="177">
                  <c:v>108</c:v>
                </c:pt>
                <c:pt idx="178">
                  <c:v>186</c:v>
                </c:pt>
                <c:pt idx="179">
                  <c:v>213</c:v>
                </c:pt>
                <c:pt idx="180">
                  <c:v>54</c:v>
                </c:pt>
                <c:pt idx="181">
                  <c:v>159</c:v>
                </c:pt>
                <c:pt idx="182">
                  <c:v>108</c:v>
                </c:pt>
                <c:pt idx="183">
                  <c:v>108</c:v>
                </c:pt>
                <c:pt idx="184">
                  <c:v>66</c:v>
                </c:pt>
                <c:pt idx="185">
                  <c:v>120</c:v>
                </c:pt>
                <c:pt idx="186">
                  <c:v>174</c:v>
                </c:pt>
                <c:pt idx="187">
                  <c:v>57</c:v>
                </c:pt>
                <c:pt idx="188">
                  <c:v>132</c:v>
                </c:pt>
                <c:pt idx="189">
                  <c:v>81</c:v>
                </c:pt>
                <c:pt idx="190">
                  <c:v>174</c:v>
                </c:pt>
                <c:pt idx="191">
                  <c:v>108</c:v>
                </c:pt>
                <c:pt idx="192">
                  <c:v>57</c:v>
                </c:pt>
                <c:pt idx="193">
                  <c:v>108</c:v>
                </c:pt>
                <c:pt idx="194">
                  <c:v>57</c:v>
                </c:pt>
                <c:pt idx="195">
                  <c:v>201</c:v>
                </c:pt>
                <c:pt idx="196">
                  <c:v>72</c:v>
                </c:pt>
                <c:pt idx="197">
                  <c:v>108</c:v>
                </c:pt>
                <c:pt idx="198">
                  <c:v>93</c:v>
                </c:pt>
                <c:pt idx="199">
                  <c:v>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D6-4C8C-A73D-A19A653A0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21048"/>
        <c:axId val="664918096"/>
      </c:scatterChart>
      <c:valAx>
        <c:axId val="66492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</a:t>
                </a:r>
                <a:r>
                  <a:rPr lang="ru-RU" baseline="0"/>
                  <a:t> полетов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18096"/>
        <c:crosses val="autoZero"/>
        <c:crossBetween val="midCat"/>
      </c:valAx>
      <c:valAx>
        <c:axId val="6649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Годовой доход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21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[data.xlsx]Пол - Цель!Сводная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'Пол - Цель'!$B$3:$B$4</c:f>
              <c:strCache>
                <c:ptCount val="1"/>
                <c:pt idx="0">
                  <c:v>бизнес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'Пол - Цель'!$A$5:$A$7</c:f>
              <c:strCache>
                <c:ptCount val="2"/>
                <c:pt idx="0">
                  <c:v>женщина</c:v>
                </c:pt>
                <c:pt idx="1">
                  <c:v>мужчина</c:v>
                </c:pt>
              </c:strCache>
            </c:strRef>
          </c:cat>
          <c:val>
            <c:numRef>
              <c:f>'Пол - Цель'!$B$5:$B$7</c:f>
              <c:numCache>
                <c:formatCode>General</c:formatCode>
                <c:ptCount val="2"/>
                <c:pt idx="0">
                  <c:v>30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1-4C4B-B276-B87D7FA881AA}"/>
            </c:ext>
          </c:extLst>
        </c:ser>
        <c:ser>
          <c:idx val="1"/>
          <c:order val="1"/>
          <c:tx>
            <c:strRef>
              <c:f>'Пол - Цель'!$C$3:$C$4</c:f>
              <c:strCache>
                <c:ptCount val="1"/>
                <c:pt idx="0">
                  <c:v>личные цели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'Пол - Цель'!$A$5:$A$7</c:f>
              <c:strCache>
                <c:ptCount val="2"/>
                <c:pt idx="0">
                  <c:v>женщина</c:v>
                </c:pt>
                <c:pt idx="1">
                  <c:v>мужчина</c:v>
                </c:pt>
              </c:strCache>
            </c:strRef>
          </c:cat>
          <c:val>
            <c:numRef>
              <c:f>'Пол - Цель'!$C$5:$C$7</c:f>
              <c:numCache>
                <c:formatCode>General</c:formatCode>
                <c:ptCount val="2"/>
                <c:pt idx="0">
                  <c:v>20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91-4C4B-B276-B87D7FA88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83968"/>
        <c:axId val="109376424"/>
      </c:barChart>
      <c:catAx>
        <c:axId val="1093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376424"/>
        <c:crosses val="autoZero"/>
        <c:auto val="1"/>
        <c:lblAlgn val="ctr"/>
        <c:lblOffset val="100"/>
        <c:noMultiLvlLbl val="0"/>
      </c:catAx>
      <c:valAx>
        <c:axId val="10937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38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[data.xlsx]Пол - Характеристика!Сводная таблица2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'Пол - Характеристика'!$B$3:$B$4</c:f>
              <c:strCache>
                <c:ptCount val="1"/>
                <c:pt idx="0">
                  <c:v>комфорт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'Пол - Характеристика'!$A$5:$A$7</c:f>
              <c:strCache>
                <c:ptCount val="2"/>
                <c:pt idx="0">
                  <c:v>женщина</c:v>
                </c:pt>
                <c:pt idx="1">
                  <c:v>мужчина</c:v>
                </c:pt>
              </c:strCache>
            </c:strRef>
          </c:cat>
          <c:val>
            <c:numRef>
              <c:f>'Пол - Характеристика'!$B$5:$B$7</c:f>
              <c:numCache>
                <c:formatCode>General</c:formatCode>
                <c:ptCount val="2"/>
                <c:pt idx="0">
                  <c:v>30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4-47DA-AA8F-14665B7EA240}"/>
            </c:ext>
          </c:extLst>
        </c:ser>
        <c:ser>
          <c:idx val="1"/>
          <c:order val="1"/>
          <c:tx>
            <c:strRef>
              <c:f>'Пол - Характеристика'!$C$3:$C$4</c:f>
              <c:strCache>
                <c:ptCount val="1"/>
                <c:pt idx="0">
                  <c:v>точность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'Пол - Характеристика'!$A$5:$A$7</c:f>
              <c:strCache>
                <c:ptCount val="2"/>
                <c:pt idx="0">
                  <c:v>женщина</c:v>
                </c:pt>
                <c:pt idx="1">
                  <c:v>мужчина</c:v>
                </c:pt>
              </c:strCache>
            </c:strRef>
          </c:cat>
          <c:val>
            <c:numRef>
              <c:f>'Пол - Характеристика'!$C$5:$C$7</c:f>
              <c:numCache>
                <c:formatCode>General</c:formatCode>
                <c:ptCount val="2"/>
                <c:pt idx="0">
                  <c:v>10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94-47DA-AA8F-14665B7EA240}"/>
            </c:ext>
          </c:extLst>
        </c:ser>
        <c:ser>
          <c:idx val="2"/>
          <c:order val="2"/>
          <c:tx>
            <c:strRef>
              <c:f>'Пол - Характеристика'!$D$3:$D$4</c:f>
              <c:strCache>
                <c:ptCount val="1"/>
                <c:pt idx="0">
                  <c:v>частота рейсов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'Пол - Характеристика'!$A$5:$A$7</c:f>
              <c:strCache>
                <c:ptCount val="2"/>
                <c:pt idx="0">
                  <c:v>женщина</c:v>
                </c:pt>
                <c:pt idx="1">
                  <c:v>мужчина</c:v>
                </c:pt>
              </c:strCache>
            </c:strRef>
          </c:cat>
          <c:val>
            <c:numRef>
              <c:f>'Пол - Характеристика'!$D$5:$D$7</c:f>
              <c:numCache>
                <c:formatCode>General</c:formatCode>
                <c:ptCount val="2"/>
                <c:pt idx="0">
                  <c:v>10</c:v>
                </c:pt>
                <c:pt idx="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94-47DA-AA8F-14665B7EA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396944"/>
        <c:axId val="693398256"/>
      </c:barChart>
      <c:catAx>
        <c:axId val="69339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3398256"/>
        <c:crosses val="autoZero"/>
        <c:auto val="1"/>
        <c:lblAlgn val="ctr"/>
        <c:lblOffset val="100"/>
        <c:noMultiLvlLbl val="0"/>
      </c:catAx>
      <c:valAx>
        <c:axId val="6933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339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[data.xlsx]Цель - Характеристика!Сводная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'Цель - Характеристика'!$B$3:$B$4</c:f>
              <c:strCache>
                <c:ptCount val="1"/>
                <c:pt idx="0">
                  <c:v>комфорт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'Цель - Характеристика'!$A$5:$A$7</c:f>
              <c:strCache>
                <c:ptCount val="2"/>
                <c:pt idx="0">
                  <c:v>бизнес</c:v>
                </c:pt>
                <c:pt idx="1">
                  <c:v>личные цели</c:v>
                </c:pt>
              </c:strCache>
            </c:strRef>
          </c:cat>
          <c:val>
            <c:numRef>
              <c:f>'Цель - Характеристика'!$B$5:$B$7</c:f>
              <c:numCache>
                <c:formatCode>General</c:formatCode>
                <c:ptCount val="2"/>
                <c:pt idx="0">
                  <c:v>48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1-45BA-9F8A-16DFF46E8A9B}"/>
            </c:ext>
          </c:extLst>
        </c:ser>
        <c:ser>
          <c:idx val="1"/>
          <c:order val="1"/>
          <c:tx>
            <c:strRef>
              <c:f>'Цель - Характеристика'!$C$3:$C$4</c:f>
              <c:strCache>
                <c:ptCount val="1"/>
                <c:pt idx="0">
                  <c:v>точность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'Цель - Характеристика'!$A$5:$A$7</c:f>
              <c:strCache>
                <c:ptCount val="2"/>
                <c:pt idx="0">
                  <c:v>бизнес</c:v>
                </c:pt>
                <c:pt idx="1">
                  <c:v>личные цели</c:v>
                </c:pt>
              </c:strCache>
            </c:strRef>
          </c:cat>
          <c:val>
            <c:numRef>
              <c:f>'Цель - Характеристика'!$C$5:$C$7</c:f>
              <c:numCache>
                <c:formatCode>General</c:formatCode>
                <c:ptCount val="2"/>
                <c:pt idx="0">
                  <c:v>26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1-45BA-9F8A-16DFF46E8A9B}"/>
            </c:ext>
          </c:extLst>
        </c:ser>
        <c:ser>
          <c:idx val="2"/>
          <c:order val="2"/>
          <c:tx>
            <c:strRef>
              <c:f>'Цель - Характеристика'!$D$3:$D$4</c:f>
              <c:strCache>
                <c:ptCount val="1"/>
                <c:pt idx="0">
                  <c:v>частота рейсов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'Цель - Характеристика'!$A$5:$A$7</c:f>
              <c:strCache>
                <c:ptCount val="2"/>
                <c:pt idx="0">
                  <c:v>бизнес</c:v>
                </c:pt>
                <c:pt idx="1">
                  <c:v>личные цели</c:v>
                </c:pt>
              </c:strCache>
            </c:strRef>
          </c:cat>
          <c:val>
            <c:numRef>
              <c:f>'Цель - Характеристика'!$D$5:$D$7</c:f>
              <c:numCache>
                <c:formatCode>General</c:formatCode>
                <c:ptCount val="2"/>
                <c:pt idx="0">
                  <c:v>54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41-45BA-9F8A-16DFF46E8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957359"/>
        <c:axId val="1535953199"/>
      </c:barChart>
      <c:catAx>
        <c:axId val="153595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5953199"/>
        <c:crosses val="autoZero"/>
        <c:auto val="1"/>
        <c:lblAlgn val="ctr"/>
        <c:lblOffset val="100"/>
        <c:noMultiLvlLbl val="0"/>
      </c:catAx>
      <c:valAx>
        <c:axId val="153595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595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177799</xdr:rowOff>
    </xdr:from>
    <xdr:to>
      <xdr:col>18</xdr:col>
      <xdr:colOff>342900</xdr:colOff>
      <xdr:row>15</xdr:row>
      <xdr:rowOff>304799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5710DC4-D597-4850-A754-44F25D833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545898</xdr:colOff>
      <xdr:row>20</xdr:row>
      <xdr:rowOff>29289</xdr:rowOff>
    </xdr:from>
    <xdr:to>
      <xdr:col>16</xdr:col>
      <xdr:colOff>112058</xdr:colOff>
      <xdr:row>39</xdr:row>
      <xdr:rowOff>100852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AD0374-2EB4-4477-8EC9-700FDD529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425425</xdr:colOff>
      <xdr:row>0</xdr:row>
      <xdr:rowOff>216025</xdr:rowOff>
    </xdr:from>
    <xdr:to>
      <xdr:col>25</xdr:col>
      <xdr:colOff>94121</xdr:colOff>
      <xdr:row>11</xdr:row>
      <xdr:rowOff>101725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FB5CC6A-266D-4711-B31B-C548816D0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491131</xdr:colOff>
      <xdr:row>0</xdr:row>
      <xdr:rowOff>198575</xdr:rowOff>
    </xdr:from>
    <xdr:to>
      <xdr:col>33</xdr:col>
      <xdr:colOff>167623</xdr:colOff>
      <xdr:row>11</xdr:row>
      <xdr:rowOff>90388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4EC31EB-235F-4C9C-B233-5A79D8BF8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469119</xdr:colOff>
      <xdr:row>39</xdr:row>
      <xdr:rowOff>166832</xdr:rowOff>
    </xdr:from>
    <xdr:to>
      <xdr:col>14</xdr:col>
      <xdr:colOff>200177</xdr:colOff>
      <xdr:row>54</xdr:row>
      <xdr:rowOff>89205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51688E8-7368-41E5-8032-4960C7F2F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604837</xdr:colOff>
      <xdr:row>39</xdr:row>
      <xdr:rowOff>168275</xdr:rowOff>
    </xdr:from>
    <xdr:to>
      <xdr:col>21</xdr:col>
      <xdr:colOff>595312</xdr:colOff>
      <xdr:row>54</xdr:row>
      <xdr:rowOff>60325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1A74F29-8BA8-4205-B55D-4EFCDC8FE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8</xdr:row>
      <xdr:rowOff>47625</xdr:rowOff>
    </xdr:from>
    <xdr:to>
      <xdr:col>4</xdr:col>
      <xdr:colOff>742950</xdr:colOff>
      <xdr:row>24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4D69E5-F663-4D90-8D51-FDDF7106D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76200</xdr:rowOff>
    </xdr:from>
    <xdr:to>
      <xdr:col>4</xdr:col>
      <xdr:colOff>0</xdr:colOff>
      <xdr:row>22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CC841F0-2B76-4455-8A18-157561C33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8</xdr:row>
      <xdr:rowOff>139700</xdr:rowOff>
    </xdr:from>
    <xdr:to>
      <xdr:col>3</xdr:col>
      <xdr:colOff>882650</xdr:colOff>
      <xdr:row>23</xdr:row>
      <xdr:rowOff>120650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295A8C5-85B0-43CC-82B8-A98C9D4ED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189.898659259263" createdVersion="6" refreshedVersion="6" minRefreshableVersion="3" recordCount="201" xr:uid="{E6C998BF-DAA4-4F39-A53F-58C0EF45986D}">
  <cacheSource type="worksheet">
    <worksheetSource ref="A1:F1048576" sheet="Данные"/>
  </cacheSource>
  <cacheFields count="6">
    <cacheField name="Количество полетов за последний год" numFmtId="0">
      <sharedItems containsString="0" containsBlank="1" containsNumber="1" containsInteger="1" minValue="1" maxValue="13" count="12">
        <n v="2"/>
        <n v="3"/>
        <n v="9"/>
        <n v="1"/>
        <n v="4"/>
        <n v="8"/>
        <n v="6"/>
        <n v="5"/>
        <n v="10"/>
        <n v="13"/>
        <n v="7"/>
        <m/>
      </sharedItems>
    </cacheField>
    <cacheField name="пол" numFmtId="0">
      <sharedItems containsBlank="1" count="3">
        <s v="мужчина"/>
        <s v="женщина"/>
        <m/>
      </sharedItems>
    </cacheField>
    <cacheField name="цель полета" numFmtId="0">
      <sharedItems containsBlank="1" count="3">
        <s v="бизнес"/>
        <s v="личные цели"/>
        <m/>
      </sharedItems>
    </cacheField>
    <cacheField name="самая важная характеристика" numFmtId="0">
      <sharedItems containsBlank="1" count="4">
        <s v="частота рейсов"/>
        <s v="комфорт"/>
        <s v="точность"/>
        <m/>
      </sharedItems>
    </cacheField>
    <cacheField name="годовой доход, тыс. руб." numFmtId="0">
      <sharedItems containsString="0" containsBlank="1" containsNumber="1" containsInteger="1" minValue="39" maxValue="321"/>
    </cacheField>
    <cacheField name="возраст" numFmtId="0">
      <sharedItems containsString="0" containsBlank="1" containsNumber="1" containsInteger="1" minValue="18" maxValue="73" count="44">
        <n v="27"/>
        <n v="56"/>
        <n v="35"/>
        <n v="64"/>
        <n v="50"/>
        <n v="26"/>
        <n v="49"/>
        <n v="34"/>
        <n v="36"/>
        <n v="65"/>
        <n v="60"/>
        <n v="73"/>
        <n v="42"/>
        <n v="39"/>
        <n v="23"/>
        <n v="70"/>
        <n v="53"/>
        <n v="28"/>
        <n v="41"/>
        <n v="37"/>
        <n v="21"/>
        <n v="31"/>
        <n v="32"/>
        <n v="45"/>
        <n v="18"/>
        <n v="54"/>
        <n v="30"/>
        <n v="29"/>
        <n v="40"/>
        <n v="62"/>
        <n v="44"/>
        <n v="43"/>
        <n v="24"/>
        <n v="47"/>
        <n v="52"/>
        <n v="25"/>
        <n v="58"/>
        <n v="48"/>
        <n v="33"/>
        <n v="51"/>
        <n v="59"/>
        <n v="57"/>
        <n v="2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x v="0"/>
    <x v="0"/>
    <x v="0"/>
    <n v="81"/>
    <x v="0"/>
  </r>
  <r>
    <x v="1"/>
    <x v="0"/>
    <x v="0"/>
    <x v="1"/>
    <n v="108"/>
    <x v="1"/>
  </r>
  <r>
    <x v="1"/>
    <x v="0"/>
    <x v="1"/>
    <x v="2"/>
    <n v="66"/>
    <x v="2"/>
  </r>
  <r>
    <x v="2"/>
    <x v="0"/>
    <x v="0"/>
    <x v="2"/>
    <n v="180"/>
    <x v="3"/>
  </r>
  <r>
    <x v="1"/>
    <x v="0"/>
    <x v="0"/>
    <x v="0"/>
    <n v="81"/>
    <x v="4"/>
  </r>
  <r>
    <x v="1"/>
    <x v="0"/>
    <x v="1"/>
    <x v="1"/>
    <n v="72"/>
    <x v="5"/>
  </r>
  <r>
    <x v="1"/>
    <x v="0"/>
    <x v="0"/>
    <x v="1"/>
    <n v="81"/>
    <x v="6"/>
  </r>
  <r>
    <x v="1"/>
    <x v="0"/>
    <x v="1"/>
    <x v="2"/>
    <n v="93"/>
    <x v="7"/>
  </r>
  <r>
    <x v="3"/>
    <x v="1"/>
    <x v="0"/>
    <x v="1"/>
    <n v="66"/>
    <x v="2"/>
  </r>
  <r>
    <x v="1"/>
    <x v="0"/>
    <x v="0"/>
    <x v="0"/>
    <n v="81"/>
    <x v="8"/>
  </r>
  <r>
    <x v="3"/>
    <x v="0"/>
    <x v="0"/>
    <x v="1"/>
    <n v="57"/>
    <x v="9"/>
  </r>
  <r>
    <x v="3"/>
    <x v="1"/>
    <x v="0"/>
    <x v="1"/>
    <n v="54"/>
    <x v="10"/>
  </r>
  <r>
    <x v="4"/>
    <x v="0"/>
    <x v="1"/>
    <x v="1"/>
    <n v="159"/>
    <x v="11"/>
  </r>
  <r>
    <x v="0"/>
    <x v="0"/>
    <x v="0"/>
    <x v="0"/>
    <n v="54"/>
    <x v="12"/>
  </r>
  <r>
    <x v="4"/>
    <x v="1"/>
    <x v="0"/>
    <x v="2"/>
    <n v="174"/>
    <x v="13"/>
  </r>
  <r>
    <x v="5"/>
    <x v="1"/>
    <x v="1"/>
    <x v="1"/>
    <n v="267"/>
    <x v="5"/>
  </r>
  <r>
    <x v="4"/>
    <x v="1"/>
    <x v="0"/>
    <x v="1"/>
    <n v="186"/>
    <x v="14"/>
  </r>
  <r>
    <x v="5"/>
    <x v="0"/>
    <x v="1"/>
    <x v="2"/>
    <n v="267"/>
    <x v="15"/>
  </r>
  <r>
    <x v="1"/>
    <x v="0"/>
    <x v="0"/>
    <x v="2"/>
    <n v="93"/>
    <x v="7"/>
  </r>
  <r>
    <x v="0"/>
    <x v="1"/>
    <x v="1"/>
    <x v="1"/>
    <n v="108"/>
    <x v="16"/>
  </r>
  <r>
    <x v="1"/>
    <x v="0"/>
    <x v="0"/>
    <x v="1"/>
    <n v="186"/>
    <x v="17"/>
  </r>
  <r>
    <x v="3"/>
    <x v="0"/>
    <x v="0"/>
    <x v="0"/>
    <n v="57"/>
    <x v="4"/>
  </r>
  <r>
    <x v="1"/>
    <x v="0"/>
    <x v="0"/>
    <x v="0"/>
    <n v="66"/>
    <x v="16"/>
  </r>
  <r>
    <x v="1"/>
    <x v="0"/>
    <x v="0"/>
    <x v="0"/>
    <n v="99"/>
    <x v="18"/>
  </r>
  <r>
    <x v="1"/>
    <x v="0"/>
    <x v="1"/>
    <x v="1"/>
    <n v="66"/>
    <x v="19"/>
  </r>
  <r>
    <x v="1"/>
    <x v="0"/>
    <x v="0"/>
    <x v="0"/>
    <n v="108"/>
    <x v="4"/>
  </r>
  <r>
    <x v="1"/>
    <x v="1"/>
    <x v="0"/>
    <x v="0"/>
    <n v="108"/>
    <x v="20"/>
  </r>
  <r>
    <x v="1"/>
    <x v="0"/>
    <x v="0"/>
    <x v="0"/>
    <n v="81"/>
    <x v="21"/>
  </r>
  <r>
    <x v="3"/>
    <x v="0"/>
    <x v="0"/>
    <x v="0"/>
    <n v="57"/>
    <x v="22"/>
  </r>
  <r>
    <x v="1"/>
    <x v="0"/>
    <x v="0"/>
    <x v="1"/>
    <n v="108"/>
    <x v="1"/>
  </r>
  <r>
    <x v="1"/>
    <x v="0"/>
    <x v="1"/>
    <x v="0"/>
    <n v="108"/>
    <x v="17"/>
  </r>
  <r>
    <x v="4"/>
    <x v="0"/>
    <x v="0"/>
    <x v="2"/>
    <n v="108"/>
    <x v="23"/>
  </r>
  <r>
    <x v="4"/>
    <x v="0"/>
    <x v="1"/>
    <x v="1"/>
    <n v="159"/>
    <x v="11"/>
  </r>
  <r>
    <x v="3"/>
    <x v="0"/>
    <x v="0"/>
    <x v="0"/>
    <n v="57"/>
    <x v="22"/>
  </r>
  <r>
    <x v="0"/>
    <x v="1"/>
    <x v="1"/>
    <x v="1"/>
    <n v="93"/>
    <x v="24"/>
  </r>
  <r>
    <x v="0"/>
    <x v="1"/>
    <x v="1"/>
    <x v="1"/>
    <n v="93"/>
    <x v="24"/>
  </r>
  <r>
    <x v="6"/>
    <x v="0"/>
    <x v="0"/>
    <x v="0"/>
    <n v="186"/>
    <x v="19"/>
  </r>
  <r>
    <x v="4"/>
    <x v="1"/>
    <x v="0"/>
    <x v="2"/>
    <n v="174"/>
    <x v="13"/>
  </r>
  <r>
    <x v="1"/>
    <x v="1"/>
    <x v="1"/>
    <x v="1"/>
    <n v="132"/>
    <x v="25"/>
  </r>
  <r>
    <x v="0"/>
    <x v="0"/>
    <x v="0"/>
    <x v="1"/>
    <n v="81"/>
    <x v="26"/>
  </r>
  <r>
    <x v="1"/>
    <x v="0"/>
    <x v="0"/>
    <x v="0"/>
    <n v="66"/>
    <x v="16"/>
  </r>
  <r>
    <x v="7"/>
    <x v="0"/>
    <x v="0"/>
    <x v="2"/>
    <n v="159"/>
    <x v="27"/>
  </r>
  <r>
    <x v="1"/>
    <x v="0"/>
    <x v="0"/>
    <x v="1"/>
    <n v="108"/>
    <x v="12"/>
  </r>
  <r>
    <x v="3"/>
    <x v="0"/>
    <x v="1"/>
    <x v="2"/>
    <n v="54"/>
    <x v="28"/>
  </r>
  <r>
    <x v="3"/>
    <x v="0"/>
    <x v="1"/>
    <x v="0"/>
    <n v="57"/>
    <x v="28"/>
  </r>
  <r>
    <x v="1"/>
    <x v="0"/>
    <x v="0"/>
    <x v="0"/>
    <n v="54"/>
    <x v="29"/>
  </r>
  <r>
    <x v="0"/>
    <x v="0"/>
    <x v="0"/>
    <x v="2"/>
    <n v="93"/>
    <x v="30"/>
  </r>
  <r>
    <x v="1"/>
    <x v="0"/>
    <x v="1"/>
    <x v="0"/>
    <n v="159"/>
    <x v="17"/>
  </r>
  <r>
    <x v="7"/>
    <x v="0"/>
    <x v="1"/>
    <x v="0"/>
    <n v="213"/>
    <x v="28"/>
  </r>
  <r>
    <x v="1"/>
    <x v="0"/>
    <x v="0"/>
    <x v="0"/>
    <n v="81"/>
    <x v="31"/>
  </r>
  <r>
    <x v="3"/>
    <x v="0"/>
    <x v="1"/>
    <x v="0"/>
    <n v="108"/>
    <x v="32"/>
  </r>
  <r>
    <x v="3"/>
    <x v="0"/>
    <x v="1"/>
    <x v="2"/>
    <n v="54"/>
    <x v="28"/>
  </r>
  <r>
    <x v="6"/>
    <x v="0"/>
    <x v="1"/>
    <x v="1"/>
    <n v="240"/>
    <x v="0"/>
  </r>
  <r>
    <x v="1"/>
    <x v="1"/>
    <x v="1"/>
    <x v="1"/>
    <n v="132"/>
    <x v="25"/>
  </r>
  <r>
    <x v="0"/>
    <x v="0"/>
    <x v="1"/>
    <x v="2"/>
    <n v="81"/>
    <x v="33"/>
  </r>
  <r>
    <x v="0"/>
    <x v="0"/>
    <x v="1"/>
    <x v="2"/>
    <n v="81"/>
    <x v="33"/>
  </r>
  <r>
    <x v="1"/>
    <x v="0"/>
    <x v="0"/>
    <x v="0"/>
    <n v="81"/>
    <x v="31"/>
  </r>
  <r>
    <x v="1"/>
    <x v="0"/>
    <x v="0"/>
    <x v="1"/>
    <n v="108"/>
    <x v="34"/>
  </r>
  <r>
    <x v="1"/>
    <x v="1"/>
    <x v="0"/>
    <x v="0"/>
    <n v="132"/>
    <x v="26"/>
  </r>
  <r>
    <x v="3"/>
    <x v="0"/>
    <x v="1"/>
    <x v="2"/>
    <n v="54"/>
    <x v="35"/>
  </r>
  <r>
    <x v="8"/>
    <x v="0"/>
    <x v="0"/>
    <x v="0"/>
    <n v="240"/>
    <x v="2"/>
  </r>
  <r>
    <x v="4"/>
    <x v="0"/>
    <x v="0"/>
    <x v="2"/>
    <n v="108"/>
    <x v="23"/>
  </r>
  <r>
    <x v="1"/>
    <x v="0"/>
    <x v="0"/>
    <x v="0"/>
    <n v="60"/>
    <x v="36"/>
  </r>
  <r>
    <x v="7"/>
    <x v="0"/>
    <x v="0"/>
    <x v="2"/>
    <n v="93"/>
    <x v="30"/>
  </r>
  <r>
    <x v="1"/>
    <x v="0"/>
    <x v="1"/>
    <x v="0"/>
    <n v="132"/>
    <x v="37"/>
  </r>
  <r>
    <x v="8"/>
    <x v="0"/>
    <x v="0"/>
    <x v="0"/>
    <n v="240"/>
    <x v="2"/>
  </r>
  <r>
    <x v="0"/>
    <x v="0"/>
    <x v="0"/>
    <x v="0"/>
    <n v="108"/>
    <x v="12"/>
  </r>
  <r>
    <x v="4"/>
    <x v="0"/>
    <x v="0"/>
    <x v="1"/>
    <n v="132"/>
    <x v="29"/>
  </r>
  <r>
    <x v="6"/>
    <x v="0"/>
    <x v="0"/>
    <x v="0"/>
    <n v="159"/>
    <x v="10"/>
  </r>
  <r>
    <x v="7"/>
    <x v="1"/>
    <x v="0"/>
    <x v="1"/>
    <n v="174"/>
    <x v="22"/>
  </r>
  <r>
    <x v="3"/>
    <x v="1"/>
    <x v="0"/>
    <x v="2"/>
    <n v="108"/>
    <x v="5"/>
  </r>
  <r>
    <x v="9"/>
    <x v="0"/>
    <x v="0"/>
    <x v="0"/>
    <n v="321"/>
    <x v="2"/>
  </r>
  <r>
    <x v="7"/>
    <x v="0"/>
    <x v="1"/>
    <x v="2"/>
    <n v="186"/>
    <x v="16"/>
  </r>
  <r>
    <x v="0"/>
    <x v="0"/>
    <x v="0"/>
    <x v="2"/>
    <n v="93"/>
    <x v="30"/>
  </r>
  <r>
    <x v="4"/>
    <x v="1"/>
    <x v="0"/>
    <x v="1"/>
    <n v="186"/>
    <x v="14"/>
  </r>
  <r>
    <x v="3"/>
    <x v="0"/>
    <x v="1"/>
    <x v="0"/>
    <n v="108"/>
    <x v="32"/>
  </r>
  <r>
    <x v="1"/>
    <x v="0"/>
    <x v="0"/>
    <x v="0"/>
    <n v="81"/>
    <x v="8"/>
  </r>
  <r>
    <x v="7"/>
    <x v="0"/>
    <x v="0"/>
    <x v="0"/>
    <n v="201"/>
    <x v="21"/>
  </r>
  <r>
    <x v="7"/>
    <x v="1"/>
    <x v="1"/>
    <x v="1"/>
    <n v="159"/>
    <x v="33"/>
  </r>
  <r>
    <x v="10"/>
    <x v="0"/>
    <x v="1"/>
    <x v="0"/>
    <n v="240"/>
    <x v="0"/>
  </r>
  <r>
    <x v="3"/>
    <x v="1"/>
    <x v="0"/>
    <x v="1"/>
    <n v="66"/>
    <x v="2"/>
  </r>
  <r>
    <x v="3"/>
    <x v="0"/>
    <x v="1"/>
    <x v="2"/>
    <n v="54"/>
    <x v="35"/>
  </r>
  <r>
    <x v="1"/>
    <x v="0"/>
    <x v="0"/>
    <x v="0"/>
    <n v="99"/>
    <x v="18"/>
  </r>
  <r>
    <x v="3"/>
    <x v="1"/>
    <x v="1"/>
    <x v="1"/>
    <n v="81"/>
    <x v="33"/>
  </r>
  <r>
    <x v="3"/>
    <x v="1"/>
    <x v="0"/>
    <x v="0"/>
    <n v="54"/>
    <x v="18"/>
  </r>
  <r>
    <x v="1"/>
    <x v="1"/>
    <x v="1"/>
    <x v="2"/>
    <n v="39"/>
    <x v="13"/>
  </r>
  <r>
    <x v="1"/>
    <x v="0"/>
    <x v="0"/>
    <x v="1"/>
    <n v="120"/>
    <x v="2"/>
  </r>
  <r>
    <x v="3"/>
    <x v="1"/>
    <x v="1"/>
    <x v="1"/>
    <n v="81"/>
    <x v="33"/>
  </r>
  <r>
    <x v="1"/>
    <x v="0"/>
    <x v="1"/>
    <x v="0"/>
    <n v="66"/>
    <x v="7"/>
  </r>
  <r>
    <x v="3"/>
    <x v="1"/>
    <x v="0"/>
    <x v="1"/>
    <n v="54"/>
    <x v="38"/>
  </r>
  <r>
    <x v="1"/>
    <x v="1"/>
    <x v="1"/>
    <x v="2"/>
    <n v="39"/>
    <x v="13"/>
  </r>
  <r>
    <x v="1"/>
    <x v="0"/>
    <x v="1"/>
    <x v="0"/>
    <n v="132"/>
    <x v="37"/>
  </r>
  <r>
    <x v="3"/>
    <x v="1"/>
    <x v="0"/>
    <x v="1"/>
    <n v="54"/>
    <x v="38"/>
  </r>
  <r>
    <x v="10"/>
    <x v="0"/>
    <x v="1"/>
    <x v="0"/>
    <n v="240"/>
    <x v="0"/>
  </r>
  <r>
    <x v="2"/>
    <x v="0"/>
    <x v="0"/>
    <x v="2"/>
    <n v="180"/>
    <x v="3"/>
  </r>
  <r>
    <x v="3"/>
    <x v="0"/>
    <x v="1"/>
    <x v="1"/>
    <n v="132"/>
    <x v="12"/>
  </r>
  <r>
    <x v="1"/>
    <x v="0"/>
    <x v="0"/>
    <x v="2"/>
    <n v="108"/>
    <x v="32"/>
  </r>
  <r>
    <x v="1"/>
    <x v="0"/>
    <x v="0"/>
    <x v="0"/>
    <n v="60"/>
    <x v="36"/>
  </r>
  <r>
    <x v="3"/>
    <x v="1"/>
    <x v="0"/>
    <x v="1"/>
    <n v="54"/>
    <x v="10"/>
  </r>
  <r>
    <x v="3"/>
    <x v="0"/>
    <x v="0"/>
    <x v="0"/>
    <n v="39"/>
    <x v="2"/>
  </r>
  <r>
    <x v="0"/>
    <x v="1"/>
    <x v="0"/>
    <x v="2"/>
    <n v="66"/>
    <x v="39"/>
  </r>
  <r>
    <x v="5"/>
    <x v="0"/>
    <x v="1"/>
    <x v="2"/>
    <n v="267"/>
    <x v="15"/>
  </r>
  <r>
    <x v="0"/>
    <x v="1"/>
    <x v="1"/>
    <x v="0"/>
    <n v="66"/>
    <x v="26"/>
  </r>
  <r>
    <x v="1"/>
    <x v="1"/>
    <x v="1"/>
    <x v="0"/>
    <n v="108"/>
    <x v="31"/>
  </r>
  <r>
    <x v="4"/>
    <x v="1"/>
    <x v="1"/>
    <x v="1"/>
    <n v="174"/>
    <x v="33"/>
  </r>
  <r>
    <x v="1"/>
    <x v="0"/>
    <x v="0"/>
    <x v="0"/>
    <n v="108"/>
    <x v="26"/>
  </r>
  <r>
    <x v="1"/>
    <x v="0"/>
    <x v="0"/>
    <x v="1"/>
    <n v="186"/>
    <x v="17"/>
  </r>
  <r>
    <x v="6"/>
    <x v="0"/>
    <x v="0"/>
    <x v="0"/>
    <n v="186"/>
    <x v="19"/>
  </r>
  <r>
    <x v="7"/>
    <x v="1"/>
    <x v="0"/>
    <x v="1"/>
    <n v="174"/>
    <x v="22"/>
  </r>
  <r>
    <x v="1"/>
    <x v="1"/>
    <x v="0"/>
    <x v="1"/>
    <n v="81"/>
    <x v="40"/>
  </r>
  <r>
    <x v="4"/>
    <x v="0"/>
    <x v="0"/>
    <x v="0"/>
    <n v="147"/>
    <x v="1"/>
  </r>
  <r>
    <x v="7"/>
    <x v="0"/>
    <x v="0"/>
    <x v="1"/>
    <n v="240"/>
    <x v="6"/>
  </r>
  <r>
    <x v="1"/>
    <x v="1"/>
    <x v="0"/>
    <x v="1"/>
    <n v="81"/>
    <x v="40"/>
  </r>
  <r>
    <x v="3"/>
    <x v="0"/>
    <x v="0"/>
    <x v="1"/>
    <n v="57"/>
    <x v="8"/>
  </r>
  <r>
    <x v="1"/>
    <x v="0"/>
    <x v="0"/>
    <x v="1"/>
    <n v="153"/>
    <x v="2"/>
  </r>
  <r>
    <x v="0"/>
    <x v="0"/>
    <x v="0"/>
    <x v="0"/>
    <n v="108"/>
    <x v="12"/>
  </r>
  <r>
    <x v="5"/>
    <x v="1"/>
    <x v="1"/>
    <x v="1"/>
    <n v="267"/>
    <x v="5"/>
  </r>
  <r>
    <x v="1"/>
    <x v="0"/>
    <x v="1"/>
    <x v="0"/>
    <n v="159"/>
    <x v="17"/>
  </r>
  <r>
    <x v="1"/>
    <x v="1"/>
    <x v="0"/>
    <x v="0"/>
    <n v="108"/>
    <x v="20"/>
  </r>
  <r>
    <x v="3"/>
    <x v="0"/>
    <x v="0"/>
    <x v="1"/>
    <n v="57"/>
    <x v="9"/>
  </r>
  <r>
    <x v="1"/>
    <x v="1"/>
    <x v="0"/>
    <x v="0"/>
    <n v="132"/>
    <x v="26"/>
  </r>
  <r>
    <x v="7"/>
    <x v="0"/>
    <x v="0"/>
    <x v="1"/>
    <n v="132"/>
    <x v="7"/>
  </r>
  <r>
    <x v="9"/>
    <x v="0"/>
    <x v="0"/>
    <x v="0"/>
    <n v="321"/>
    <x v="2"/>
  </r>
  <r>
    <x v="1"/>
    <x v="0"/>
    <x v="0"/>
    <x v="2"/>
    <n v="93"/>
    <x v="7"/>
  </r>
  <r>
    <x v="1"/>
    <x v="0"/>
    <x v="0"/>
    <x v="0"/>
    <n v="108"/>
    <x v="26"/>
  </r>
  <r>
    <x v="1"/>
    <x v="0"/>
    <x v="0"/>
    <x v="0"/>
    <n v="54"/>
    <x v="29"/>
  </r>
  <r>
    <x v="1"/>
    <x v="0"/>
    <x v="0"/>
    <x v="1"/>
    <n v="153"/>
    <x v="2"/>
  </r>
  <r>
    <x v="0"/>
    <x v="0"/>
    <x v="1"/>
    <x v="0"/>
    <n v="81"/>
    <x v="37"/>
  </r>
  <r>
    <x v="0"/>
    <x v="0"/>
    <x v="1"/>
    <x v="0"/>
    <n v="81"/>
    <x v="37"/>
  </r>
  <r>
    <x v="7"/>
    <x v="0"/>
    <x v="0"/>
    <x v="2"/>
    <n v="93"/>
    <x v="30"/>
  </r>
  <r>
    <x v="0"/>
    <x v="0"/>
    <x v="0"/>
    <x v="1"/>
    <n v="54"/>
    <x v="34"/>
  </r>
  <r>
    <x v="4"/>
    <x v="0"/>
    <x v="0"/>
    <x v="0"/>
    <n v="147"/>
    <x v="1"/>
  </r>
  <r>
    <x v="0"/>
    <x v="1"/>
    <x v="1"/>
    <x v="0"/>
    <n v="66"/>
    <x v="26"/>
  </r>
  <r>
    <x v="0"/>
    <x v="0"/>
    <x v="0"/>
    <x v="1"/>
    <n v="54"/>
    <x v="34"/>
  </r>
  <r>
    <x v="1"/>
    <x v="0"/>
    <x v="1"/>
    <x v="1"/>
    <n v="120"/>
    <x v="28"/>
  </r>
  <r>
    <x v="7"/>
    <x v="0"/>
    <x v="0"/>
    <x v="1"/>
    <n v="240"/>
    <x v="6"/>
  </r>
  <r>
    <x v="10"/>
    <x v="0"/>
    <x v="0"/>
    <x v="1"/>
    <n v="201"/>
    <x v="41"/>
  </r>
  <r>
    <x v="1"/>
    <x v="0"/>
    <x v="0"/>
    <x v="1"/>
    <n v="108"/>
    <x v="39"/>
  </r>
  <r>
    <x v="1"/>
    <x v="0"/>
    <x v="0"/>
    <x v="0"/>
    <n v="54"/>
    <x v="39"/>
  </r>
  <r>
    <x v="3"/>
    <x v="1"/>
    <x v="0"/>
    <x v="0"/>
    <n v="54"/>
    <x v="18"/>
  </r>
  <r>
    <x v="7"/>
    <x v="0"/>
    <x v="0"/>
    <x v="0"/>
    <n v="186"/>
    <x v="40"/>
  </r>
  <r>
    <x v="0"/>
    <x v="0"/>
    <x v="0"/>
    <x v="0"/>
    <n v="81"/>
    <x v="0"/>
  </r>
  <r>
    <x v="1"/>
    <x v="0"/>
    <x v="1"/>
    <x v="1"/>
    <n v="66"/>
    <x v="19"/>
  </r>
  <r>
    <x v="3"/>
    <x v="0"/>
    <x v="1"/>
    <x v="1"/>
    <n v="57"/>
    <x v="12"/>
  </r>
  <r>
    <x v="3"/>
    <x v="0"/>
    <x v="0"/>
    <x v="0"/>
    <n v="39"/>
    <x v="2"/>
  </r>
  <r>
    <x v="1"/>
    <x v="0"/>
    <x v="0"/>
    <x v="0"/>
    <n v="108"/>
    <x v="4"/>
  </r>
  <r>
    <x v="3"/>
    <x v="0"/>
    <x v="1"/>
    <x v="0"/>
    <n v="57"/>
    <x v="28"/>
  </r>
  <r>
    <x v="6"/>
    <x v="0"/>
    <x v="1"/>
    <x v="1"/>
    <n v="240"/>
    <x v="0"/>
  </r>
  <r>
    <x v="1"/>
    <x v="0"/>
    <x v="1"/>
    <x v="0"/>
    <n v="66"/>
    <x v="7"/>
  </r>
  <r>
    <x v="1"/>
    <x v="0"/>
    <x v="0"/>
    <x v="0"/>
    <n v="81"/>
    <x v="21"/>
  </r>
  <r>
    <x v="3"/>
    <x v="1"/>
    <x v="0"/>
    <x v="2"/>
    <n v="66"/>
    <x v="13"/>
  </r>
  <r>
    <x v="7"/>
    <x v="0"/>
    <x v="0"/>
    <x v="2"/>
    <n v="159"/>
    <x v="27"/>
  </r>
  <r>
    <x v="1"/>
    <x v="1"/>
    <x v="0"/>
    <x v="1"/>
    <n v="108"/>
    <x v="40"/>
  </r>
  <r>
    <x v="1"/>
    <x v="0"/>
    <x v="0"/>
    <x v="2"/>
    <n v="81"/>
    <x v="0"/>
  </r>
  <r>
    <x v="4"/>
    <x v="0"/>
    <x v="1"/>
    <x v="0"/>
    <n v="159"/>
    <x v="42"/>
  </r>
  <r>
    <x v="1"/>
    <x v="0"/>
    <x v="0"/>
    <x v="1"/>
    <n v="120"/>
    <x v="2"/>
  </r>
  <r>
    <x v="1"/>
    <x v="1"/>
    <x v="0"/>
    <x v="1"/>
    <n v="108"/>
    <x v="40"/>
  </r>
  <r>
    <x v="0"/>
    <x v="0"/>
    <x v="0"/>
    <x v="1"/>
    <n v="81"/>
    <x v="26"/>
  </r>
  <r>
    <x v="0"/>
    <x v="0"/>
    <x v="1"/>
    <x v="2"/>
    <n v="66"/>
    <x v="35"/>
  </r>
  <r>
    <x v="1"/>
    <x v="0"/>
    <x v="0"/>
    <x v="1"/>
    <n v="108"/>
    <x v="34"/>
  </r>
  <r>
    <x v="7"/>
    <x v="0"/>
    <x v="0"/>
    <x v="0"/>
    <n v="201"/>
    <x v="21"/>
  </r>
  <r>
    <x v="1"/>
    <x v="1"/>
    <x v="1"/>
    <x v="0"/>
    <n v="108"/>
    <x v="31"/>
  </r>
  <r>
    <x v="1"/>
    <x v="0"/>
    <x v="0"/>
    <x v="0"/>
    <n v="81"/>
    <x v="4"/>
  </r>
  <r>
    <x v="7"/>
    <x v="0"/>
    <x v="0"/>
    <x v="0"/>
    <n v="186"/>
    <x v="40"/>
  </r>
  <r>
    <x v="3"/>
    <x v="0"/>
    <x v="1"/>
    <x v="1"/>
    <n v="132"/>
    <x v="12"/>
  </r>
  <r>
    <x v="0"/>
    <x v="0"/>
    <x v="1"/>
    <x v="2"/>
    <n v="66"/>
    <x v="35"/>
  </r>
  <r>
    <x v="1"/>
    <x v="0"/>
    <x v="0"/>
    <x v="2"/>
    <n v="81"/>
    <x v="0"/>
  </r>
  <r>
    <x v="1"/>
    <x v="0"/>
    <x v="1"/>
    <x v="2"/>
    <n v="66"/>
    <x v="2"/>
  </r>
  <r>
    <x v="1"/>
    <x v="1"/>
    <x v="0"/>
    <x v="1"/>
    <n v="174"/>
    <x v="36"/>
  </r>
  <r>
    <x v="3"/>
    <x v="0"/>
    <x v="1"/>
    <x v="1"/>
    <n v="57"/>
    <x v="12"/>
  </r>
  <r>
    <x v="6"/>
    <x v="0"/>
    <x v="0"/>
    <x v="0"/>
    <n v="159"/>
    <x v="10"/>
  </r>
  <r>
    <x v="0"/>
    <x v="0"/>
    <x v="0"/>
    <x v="0"/>
    <n v="54"/>
    <x v="12"/>
  </r>
  <r>
    <x v="4"/>
    <x v="0"/>
    <x v="0"/>
    <x v="1"/>
    <n v="132"/>
    <x v="29"/>
  </r>
  <r>
    <x v="0"/>
    <x v="0"/>
    <x v="1"/>
    <x v="2"/>
    <n v="57"/>
    <x v="11"/>
  </r>
  <r>
    <x v="3"/>
    <x v="1"/>
    <x v="0"/>
    <x v="2"/>
    <n v="66"/>
    <x v="13"/>
  </r>
  <r>
    <x v="1"/>
    <x v="0"/>
    <x v="0"/>
    <x v="2"/>
    <n v="159"/>
    <x v="5"/>
  </r>
  <r>
    <x v="4"/>
    <x v="0"/>
    <x v="1"/>
    <x v="0"/>
    <n v="159"/>
    <x v="42"/>
  </r>
  <r>
    <x v="1"/>
    <x v="0"/>
    <x v="0"/>
    <x v="1"/>
    <n v="108"/>
    <x v="12"/>
  </r>
  <r>
    <x v="7"/>
    <x v="0"/>
    <x v="1"/>
    <x v="2"/>
    <n v="186"/>
    <x v="16"/>
  </r>
  <r>
    <x v="7"/>
    <x v="0"/>
    <x v="1"/>
    <x v="0"/>
    <n v="213"/>
    <x v="28"/>
  </r>
  <r>
    <x v="1"/>
    <x v="0"/>
    <x v="0"/>
    <x v="0"/>
    <n v="54"/>
    <x v="39"/>
  </r>
  <r>
    <x v="1"/>
    <x v="0"/>
    <x v="0"/>
    <x v="2"/>
    <n v="159"/>
    <x v="5"/>
  </r>
  <r>
    <x v="3"/>
    <x v="1"/>
    <x v="0"/>
    <x v="2"/>
    <n v="108"/>
    <x v="5"/>
  </r>
  <r>
    <x v="1"/>
    <x v="0"/>
    <x v="0"/>
    <x v="1"/>
    <n v="108"/>
    <x v="39"/>
  </r>
  <r>
    <x v="0"/>
    <x v="1"/>
    <x v="0"/>
    <x v="2"/>
    <n v="66"/>
    <x v="39"/>
  </r>
  <r>
    <x v="1"/>
    <x v="0"/>
    <x v="1"/>
    <x v="1"/>
    <n v="120"/>
    <x v="28"/>
  </r>
  <r>
    <x v="4"/>
    <x v="1"/>
    <x v="1"/>
    <x v="1"/>
    <n v="174"/>
    <x v="33"/>
  </r>
  <r>
    <x v="0"/>
    <x v="0"/>
    <x v="1"/>
    <x v="2"/>
    <n v="57"/>
    <x v="11"/>
  </r>
  <r>
    <x v="7"/>
    <x v="0"/>
    <x v="0"/>
    <x v="1"/>
    <n v="132"/>
    <x v="7"/>
  </r>
  <r>
    <x v="1"/>
    <x v="0"/>
    <x v="0"/>
    <x v="1"/>
    <n v="81"/>
    <x v="6"/>
  </r>
  <r>
    <x v="1"/>
    <x v="1"/>
    <x v="0"/>
    <x v="1"/>
    <n v="174"/>
    <x v="36"/>
  </r>
  <r>
    <x v="1"/>
    <x v="0"/>
    <x v="0"/>
    <x v="2"/>
    <n v="108"/>
    <x v="32"/>
  </r>
  <r>
    <x v="3"/>
    <x v="0"/>
    <x v="0"/>
    <x v="0"/>
    <n v="57"/>
    <x v="4"/>
  </r>
  <r>
    <x v="1"/>
    <x v="0"/>
    <x v="1"/>
    <x v="0"/>
    <n v="108"/>
    <x v="17"/>
  </r>
  <r>
    <x v="3"/>
    <x v="0"/>
    <x v="0"/>
    <x v="1"/>
    <n v="57"/>
    <x v="8"/>
  </r>
  <r>
    <x v="10"/>
    <x v="0"/>
    <x v="0"/>
    <x v="1"/>
    <n v="201"/>
    <x v="41"/>
  </r>
  <r>
    <x v="1"/>
    <x v="0"/>
    <x v="1"/>
    <x v="1"/>
    <n v="72"/>
    <x v="5"/>
  </r>
  <r>
    <x v="0"/>
    <x v="1"/>
    <x v="1"/>
    <x v="1"/>
    <n v="108"/>
    <x v="16"/>
  </r>
  <r>
    <x v="1"/>
    <x v="0"/>
    <x v="1"/>
    <x v="2"/>
    <n v="93"/>
    <x v="7"/>
  </r>
  <r>
    <x v="7"/>
    <x v="1"/>
    <x v="1"/>
    <x v="1"/>
    <n v="159"/>
    <x v="33"/>
  </r>
  <r>
    <x v="11"/>
    <x v="2"/>
    <x v="2"/>
    <x v="3"/>
    <m/>
    <x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0FFF9-0DF7-4B9F-9D90-E95ED846ED34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9">
  <location ref="E2:H6" firstHeaderRow="1" firstDataRow="2" firstDataCol="1"/>
  <pivotFields count="6">
    <pivotField showAll="0"/>
    <pivotField axis="axisRow" dataField="1" showAll="0">
      <items count="4">
        <item x="1"/>
        <item x="0"/>
        <item h="1"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Количество человек" fld="1" subtotal="count" baseField="1" baseItem="0"/>
  </dataFields>
  <formats count="10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24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26DC9-DD7B-4008-AE29-99CF88F8DB39}" name="Сводная таблица6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9">
  <location ref="K19:M23" firstHeaderRow="1" firstDataRow="2" firstDataCol="1"/>
  <pivotFields count="6"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axis="axisCol" showAll="0">
      <items count="5">
        <item x="1"/>
        <item h="1" x="2"/>
        <item h="1" x="0"/>
        <item h="1" x="3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2">
    <i>
      <x/>
    </i>
    <i t="grand">
      <x/>
    </i>
  </colItems>
  <dataFields count="1">
    <dataField name="Количество человек" fld="1" subtotal="count" baseField="1" baseItem="0"/>
  </dataFields>
  <formats count="10"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3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Col="1" outline="0" fieldPosition="0"/>
    </format>
  </formats>
  <chartFormats count="6">
    <chartFormat chart="0" format="6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D565F-64FF-4CB1-B227-537C79DB5333}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5">
  <location ref="K2:O6" firstHeaderRow="1" firstDataRow="2" firstDataCol="1"/>
  <pivotFields count="6">
    <pivotField showAll="0"/>
    <pivotField dataField="1" showAll="0"/>
    <pivotField axis="axisRow" showAll="0">
      <items count="4">
        <item x="0"/>
        <item x="1"/>
        <item h="1" x="2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Количество человек" fld="1" subtotal="count" baseField="2" baseItem="0"/>
  </dataFields>
  <formats count="10"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3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44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BCD80-8BEF-460B-AE1C-EEA0FE0C30B3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9">
  <location ref="E19:I23" firstHeaderRow="1" firstDataRow="2" firstDataCol="1"/>
  <pivotFields count="6"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Количество человек" fld="1" subtotal="count" baseField="1" baseItem="0"/>
  </dataFields>
  <formats count="10"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3" type="button" dataOnly="0" labelOnly="1" outline="0" axis="axisCol" fieldPosition="0"/>
    </format>
    <format dxfId="59">
      <pivotArea type="topRight" dataOnly="0" labelOnly="1" outline="0" fieldPosition="0"/>
    </format>
    <format dxfId="58">
      <pivotArea field="1" type="button" dataOnly="0" labelOnly="1" outline="0" axis="axisRow" fieldPosition="0"/>
    </format>
    <format dxfId="57">
      <pivotArea dataOnly="0" labelOnly="1" fieldPosition="0">
        <references count="1">
          <reference field="1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54">
      <pivotArea dataOnly="0" labelOnly="1" grandCol="1" outline="0" fieldPosition="0"/>
    </format>
  </formats>
  <chartFormats count="6">
    <chartFormat chart="0" format="6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E60FC-39A3-47C0-B294-6960FF6D2954}" name="Сводная таблица7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D6" firstHeaderRow="0" firstDataRow="1" firstDataCol="1"/>
  <pivotFields count="6">
    <pivotField dataField="1"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Выборка(n)" fld="0" subtotal="count" baseField="2" baseItem="0"/>
    <dataField name="Среднее(x)" fld="0" subtotal="average" baseField="2" baseItem="0" numFmtId="2"/>
    <dataField name="Станд. откл.(s)" fld="0" subtotal="stdDev" baseField="2" baseItem="0" numFmtId="2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1D538-67F3-4235-A031-E14728CACAD8}" name="Сводная таблица8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8:B11" firstHeaderRow="1" firstDataRow="1" firstDataCol="1"/>
  <pivotFields count="6">
    <pivotField showAll="0"/>
    <pivotField axis="axisRow" dataField="1" showAll="0">
      <items count="4">
        <item x="1"/>
        <item x="0"/>
        <item h="1"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пол" fld="1" subtotal="count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78BA8-3EFF-4B1C-82CB-39E4210642B7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9">
  <location ref="A3:D7" firstHeaderRow="1" firstDataRow="2" firstDataCol="1"/>
  <pivotFields count="6">
    <pivotField showAll="0"/>
    <pivotField axis="axisRow" dataField="1" showAll="0">
      <items count="4">
        <item x="1"/>
        <item x="0"/>
        <item h="1"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Количество человек" fld="1" subtotal="count" baseField="1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25603-19B3-47DB-B60F-9C4EC6A5E0A3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 chartFormat="9">
  <location ref="A3:E7" firstHeaderRow="1" firstDataRow="2" firstDataCol="1"/>
  <pivotFields count="6"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Количество человек" fld="1" subtotal="count" baseField="1" baseItem="0"/>
  </dataFields>
  <chartFormats count="6">
    <chartFormat chart="0" format="6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6CAD5-8E04-4568-BD8B-685D74E0EB44}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5">
  <location ref="A3:E7" firstHeaderRow="1" firstDataRow="2" firstDataCol="1"/>
  <pivotFields count="6">
    <pivotField showAll="0"/>
    <pivotField dataField="1" showAll="0"/>
    <pivotField axis="axisRow" showAll="0">
      <items count="4">
        <item x="0"/>
        <item x="1"/>
        <item h="1" x="2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Количество человек" fld="1" subtotal="count" baseField="2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8384-74FC-4FC3-ACEC-7AD1720F23DE}">
  <dimension ref="A1:L224"/>
  <sheetViews>
    <sheetView zoomScale="85" zoomScaleNormal="85" workbookViewId="0">
      <selection activeCell="K19" sqref="K19"/>
    </sheetView>
  </sheetViews>
  <sheetFormatPr defaultRowHeight="14.5" x14ac:dyDescent="0.35"/>
  <cols>
    <col min="1" max="1" width="24.81640625" bestFit="1" customWidth="1"/>
    <col min="2" max="2" width="23.7265625" customWidth="1"/>
    <col min="3" max="3" width="14.1796875" customWidth="1"/>
    <col min="4" max="4" width="14.1796875" bestFit="1" customWidth="1"/>
  </cols>
  <sheetData>
    <row r="1" spans="1:9" x14ac:dyDescent="0.35">
      <c r="A1" t="s">
        <v>92</v>
      </c>
      <c r="B1" t="s">
        <v>170</v>
      </c>
    </row>
    <row r="2" spans="1:9" ht="15" thickBot="1" x14ac:dyDescent="0.4">
      <c r="B2" t="s">
        <v>166</v>
      </c>
    </row>
    <row r="3" spans="1:9" x14ac:dyDescent="0.35">
      <c r="A3" s="94" t="s">
        <v>93</v>
      </c>
      <c r="B3" s="94"/>
    </row>
    <row r="4" spans="1:9" x14ac:dyDescent="0.35">
      <c r="A4" t="s">
        <v>94</v>
      </c>
      <c r="B4">
        <v>0.83527371964906338</v>
      </c>
    </row>
    <row r="5" spans="1:9" x14ac:dyDescent="0.35">
      <c r="A5" t="s">
        <v>95</v>
      </c>
      <c r="B5">
        <v>0.69768218673638205</v>
      </c>
    </row>
    <row r="6" spans="1:9" x14ac:dyDescent="0.35">
      <c r="A6" t="s">
        <v>96</v>
      </c>
      <c r="B6">
        <v>0.69615532909363642</v>
      </c>
    </row>
    <row r="7" spans="1:9" x14ac:dyDescent="0.35">
      <c r="A7" t="s">
        <v>97</v>
      </c>
      <c r="B7">
        <v>1.1327175351127643</v>
      </c>
    </row>
    <row r="8" spans="1:9" ht="15" thickBot="1" x14ac:dyDescent="0.4">
      <c r="A8" s="92" t="s">
        <v>98</v>
      </c>
      <c r="B8" s="92">
        <v>200</v>
      </c>
    </row>
    <row r="10" spans="1:9" ht="15" thickBot="1" x14ac:dyDescent="0.4">
      <c r="A10" t="s">
        <v>99</v>
      </c>
    </row>
    <row r="11" spans="1:9" x14ac:dyDescent="0.35">
      <c r="A11" s="93"/>
      <c r="B11" s="93" t="s">
        <v>104</v>
      </c>
      <c r="C11" s="93" t="s">
        <v>105</v>
      </c>
      <c r="D11" s="93" t="s">
        <v>106</v>
      </c>
      <c r="E11" s="93" t="s">
        <v>107</v>
      </c>
      <c r="F11" s="93" t="s">
        <v>108</v>
      </c>
    </row>
    <row r="12" spans="1:9" x14ac:dyDescent="0.35">
      <c r="A12" t="s">
        <v>100</v>
      </c>
      <c r="B12">
        <v>1</v>
      </c>
      <c r="C12">
        <v>586.27629515831654</v>
      </c>
      <c r="D12">
        <v>586.27629515831654</v>
      </c>
      <c r="E12">
        <v>456.93990533513841</v>
      </c>
      <c r="F12">
        <v>2.4900287762484371E-53</v>
      </c>
    </row>
    <row r="13" spans="1:9" x14ac:dyDescent="0.35">
      <c r="A13" t="s">
        <v>101</v>
      </c>
      <c r="B13">
        <v>198</v>
      </c>
      <c r="C13">
        <v>254.04370484168345</v>
      </c>
      <c r="D13">
        <v>1.2830490143519366</v>
      </c>
    </row>
    <row r="14" spans="1:9" ht="15" thickBot="1" x14ac:dyDescent="0.4">
      <c r="A14" s="92" t="s">
        <v>102</v>
      </c>
      <c r="B14" s="92">
        <v>199</v>
      </c>
      <c r="C14" s="92">
        <v>840.31999999999994</v>
      </c>
      <c r="D14" s="92"/>
      <c r="E14" s="92"/>
      <c r="F14" s="92"/>
    </row>
    <row r="15" spans="1:9" ht="15" thickBot="1" x14ac:dyDescent="0.4"/>
    <row r="16" spans="1:9" ht="43.5" x14ac:dyDescent="0.35">
      <c r="A16" s="95"/>
      <c r="B16" s="95" t="s">
        <v>109</v>
      </c>
      <c r="C16" s="95" t="s">
        <v>97</v>
      </c>
      <c r="D16" s="95" t="s">
        <v>110</v>
      </c>
      <c r="E16" s="95" t="s">
        <v>111</v>
      </c>
      <c r="F16" s="95" t="s">
        <v>112</v>
      </c>
      <c r="G16" s="95" t="s">
        <v>113</v>
      </c>
      <c r="H16" s="95" t="s">
        <v>114</v>
      </c>
      <c r="I16" s="95" t="s">
        <v>115</v>
      </c>
    </row>
    <row r="17" spans="1:12" x14ac:dyDescent="0.35">
      <c r="A17" t="s">
        <v>103</v>
      </c>
      <c r="B17">
        <v>-9.2102588758691706E-2</v>
      </c>
      <c r="C17">
        <v>0.17691953405461103</v>
      </c>
      <c r="D17">
        <v>-0.5205902742783719</v>
      </c>
      <c r="E17">
        <v>0.60323387897348024</v>
      </c>
      <c r="F17">
        <v>-0.44099100208504044</v>
      </c>
      <c r="G17">
        <v>0.25678582456765703</v>
      </c>
      <c r="H17">
        <v>-0.44099100208504044</v>
      </c>
      <c r="I17">
        <v>0.25678582456765703</v>
      </c>
    </row>
    <row r="18" spans="1:12" ht="15" thickBot="1" x14ac:dyDescent="0.4">
      <c r="A18" s="92" t="s">
        <v>11</v>
      </c>
      <c r="B18" s="92">
        <v>2.8984894178775068E-2</v>
      </c>
      <c r="C18" s="92">
        <v>1.3559453167864208E-3</v>
      </c>
      <c r="D18" s="92">
        <v>21.376152725295022</v>
      </c>
      <c r="E18" s="92">
        <v>2.4900287762486856E-53</v>
      </c>
      <c r="F18" s="92">
        <v>2.6310946315081959E-2</v>
      </c>
      <c r="G18" s="92">
        <v>3.1658842042468181E-2</v>
      </c>
      <c r="H18" s="92">
        <v>2.6310946315081959E-2</v>
      </c>
      <c r="I18" s="92">
        <v>3.1658842042468181E-2</v>
      </c>
    </row>
    <row r="19" spans="1:12" x14ac:dyDescent="0.35">
      <c r="A19" t="s">
        <v>167</v>
      </c>
      <c r="K19" s="125"/>
      <c r="L19" s="125"/>
    </row>
    <row r="20" spans="1:12" x14ac:dyDescent="0.35">
      <c r="A20" t="s">
        <v>168</v>
      </c>
      <c r="K20" s="125" t="s">
        <v>171</v>
      </c>
      <c r="L20" s="125">
        <v>32</v>
      </c>
    </row>
    <row r="21" spans="1:12" x14ac:dyDescent="0.35">
      <c r="A21" t="s">
        <v>169</v>
      </c>
      <c r="K21" s="125">
        <f>B17 + (B18*L20)</f>
        <v>0.83541402496211048</v>
      </c>
      <c r="L21" s="125"/>
    </row>
    <row r="22" spans="1:12" x14ac:dyDescent="0.35">
      <c r="A22" t="s">
        <v>116</v>
      </c>
    </row>
    <row r="23" spans="1:12" ht="15" thickBot="1" x14ac:dyDescent="0.4"/>
    <row r="24" spans="1:12" ht="43.5" x14ac:dyDescent="0.35">
      <c r="A24" s="93" t="s">
        <v>117</v>
      </c>
      <c r="B24" s="95" t="s">
        <v>118</v>
      </c>
      <c r="C24" s="93" t="s">
        <v>119</v>
      </c>
    </row>
    <row r="25" spans="1:12" x14ac:dyDescent="0.35">
      <c r="A25">
        <v>1</v>
      </c>
      <c r="B25">
        <v>2.255673839722089</v>
      </c>
      <c r="C25">
        <v>-0.25567383972208901</v>
      </c>
    </row>
    <row r="26" spans="1:12" x14ac:dyDescent="0.35">
      <c r="A26">
        <v>2</v>
      </c>
      <c r="B26">
        <v>3.0382659825490155</v>
      </c>
      <c r="C26">
        <v>-3.8265982549015476E-2</v>
      </c>
    </row>
    <row r="27" spans="1:12" x14ac:dyDescent="0.35">
      <c r="A27">
        <v>3</v>
      </c>
      <c r="B27">
        <v>1.8209004270404627</v>
      </c>
      <c r="C27">
        <v>1.1790995729595373</v>
      </c>
    </row>
    <row r="28" spans="1:12" x14ac:dyDescent="0.35">
      <c r="A28">
        <v>4</v>
      </c>
      <c r="B28">
        <v>5.1251783634208206</v>
      </c>
      <c r="C28">
        <v>3.8748216365791794</v>
      </c>
    </row>
    <row r="29" spans="1:12" x14ac:dyDescent="0.35">
      <c r="A29">
        <v>5</v>
      </c>
      <c r="B29">
        <v>2.255673839722089</v>
      </c>
      <c r="C29">
        <v>0.74432616027791099</v>
      </c>
    </row>
    <row r="30" spans="1:12" x14ac:dyDescent="0.35">
      <c r="A30">
        <v>6</v>
      </c>
      <c r="B30">
        <v>1.9948097921131134</v>
      </c>
      <c r="C30">
        <v>1.0051902078868866</v>
      </c>
    </row>
    <row r="31" spans="1:12" x14ac:dyDescent="0.35">
      <c r="A31">
        <v>7</v>
      </c>
      <c r="B31">
        <v>2.255673839722089</v>
      </c>
      <c r="C31">
        <v>0.74432616027791099</v>
      </c>
    </row>
    <row r="32" spans="1:12" x14ac:dyDescent="0.35">
      <c r="A32">
        <v>8</v>
      </c>
      <c r="B32">
        <v>2.6034925698673899</v>
      </c>
      <c r="C32">
        <v>0.39650743013261014</v>
      </c>
    </row>
    <row r="33" spans="1:3" x14ac:dyDescent="0.35">
      <c r="A33">
        <v>9</v>
      </c>
      <c r="B33">
        <v>1.8209004270404627</v>
      </c>
      <c r="C33">
        <v>-0.82090042704046273</v>
      </c>
    </row>
    <row r="34" spans="1:3" x14ac:dyDescent="0.35">
      <c r="A34">
        <v>10</v>
      </c>
      <c r="B34">
        <v>2.255673839722089</v>
      </c>
      <c r="C34">
        <v>0.74432616027791099</v>
      </c>
    </row>
    <row r="35" spans="1:3" x14ac:dyDescent="0.35">
      <c r="A35">
        <v>11</v>
      </c>
      <c r="B35">
        <v>1.5600363794314871</v>
      </c>
      <c r="C35">
        <v>-0.5600363794314871</v>
      </c>
    </row>
    <row r="36" spans="1:3" x14ac:dyDescent="0.35">
      <c r="A36">
        <v>12</v>
      </c>
      <c r="B36">
        <v>1.4730816968951619</v>
      </c>
      <c r="C36">
        <v>-0.47308169689516189</v>
      </c>
    </row>
    <row r="37" spans="1:3" x14ac:dyDescent="0.35">
      <c r="A37">
        <v>13</v>
      </c>
      <c r="B37">
        <v>4.5164955856665436</v>
      </c>
      <c r="C37">
        <v>-0.51649558566654363</v>
      </c>
    </row>
    <row r="38" spans="1:3" x14ac:dyDescent="0.35">
      <c r="A38">
        <v>14</v>
      </c>
      <c r="B38">
        <v>1.4730816968951619</v>
      </c>
      <c r="C38">
        <v>0.52691830310483811</v>
      </c>
    </row>
    <row r="39" spans="1:3" x14ac:dyDescent="0.35">
      <c r="A39">
        <v>15</v>
      </c>
      <c r="B39">
        <v>4.951268998348171</v>
      </c>
      <c r="C39">
        <v>-0.95126899834817102</v>
      </c>
    </row>
    <row r="40" spans="1:3" x14ac:dyDescent="0.35">
      <c r="A40">
        <v>16</v>
      </c>
      <c r="B40">
        <v>7.6468641569742513</v>
      </c>
      <c r="C40">
        <v>0.35313584302574874</v>
      </c>
    </row>
    <row r="41" spans="1:3" x14ac:dyDescent="0.35">
      <c r="A41">
        <v>17</v>
      </c>
      <c r="B41">
        <v>5.2990877284934719</v>
      </c>
      <c r="C41">
        <v>-1.2990877284934719</v>
      </c>
    </row>
    <row r="42" spans="1:3" x14ac:dyDescent="0.35">
      <c r="A42">
        <v>18</v>
      </c>
      <c r="B42">
        <v>7.6468641569742513</v>
      </c>
      <c r="C42">
        <v>0.35313584302574874</v>
      </c>
    </row>
    <row r="43" spans="1:3" x14ac:dyDescent="0.35">
      <c r="A43">
        <v>19</v>
      </c>
      <c r="B43">
        <v>2.6034925698673899</v>
      </c>
      <c r="C43">
        <v>0.39650743013261014</v>
      </c>
    </row>
    <row r="44" spans="1:3" x14ac:dyDescent="0.35">
      <c r="A44">
        <v>20</v>
      </c>
      <c r="B44">
        <v>3.0382659825490155</v>
      </c>
      <c r="C44">
        <v>-1.0382659825490155</v>
      </c>
    </row>
    <row r="45" spans="1:3" x14ac:dyDescent="0.35">
      <c r="A45">
        <v>21</v>
      </c>
      <c r="B45">
        <v>5.2990877284934719</v>
      </c>
      <c r="C45">
        <v>-2.2990877284934719</v>
      </c>
    </row>
    <row r="46" spans="1:3" x14ac:dyDescent="0.35">
      <c r="A46">
        <v>22</v>
      </c>
      <c r="B46">
        <v>1.5600363794314871</v>
      </c>
      <c r="C46">
        <v>-0.5600363794314871</v>
      </c>
    </row>
    <row r="47" spans="1:3" x14ac:dyDescent="0.35">
      <c r="A47">
        <v>23</v>
      </c>
      <c r="B47">
        <v>1.8209004270404627</v>
      </c>
      <c r="C47">
        <v>1.1790995729595373</v>
      </c>
    </row>
    <row r="48" spans="1:3" x14ac:dyDescent="0.35">
      <c r="A48">
        <v>24</v>
      </c>
      <c r="B48">
        <v>2.7774019349400398</v>
      </c>
      <c r="C48">
        <v>0.22259806505996016</v>
      </c>
    </row>
    <row r="49" spans="1:3" x14ac:dyDescent="0.35">
      <c r="A49">
        <v>25</v>
      </c>
      <c r="B49">
        <v>1.8209004270404627</v>
      </c>
      <c r="C49">
        <v>1.1790995729595373</v>
      </c>
    </row>
    <row r="50" spans="1:3" x14ac:dyDescent="0.35">
      <c r="A50">
        <v>26</v>
      </c>
      <c r="B50">
        <v>3.0382659825490155</v>
      </c>
      <c r="C50">
        <v>-3.8265982549015476E-2</v>
      </c>
    </row>
    <row r="51" spans="1:3" x14ac:dyDescent="0.35">
      <c r="A51">
        <v>27</v>
      </c>
      <c r="B51">
        <v>3.0382659825490155</v>
      </c>
      <c r="C51">
        <v>-3.8265982549015476E-2</v>
      </c>
    </row>
    <row r="52" spans="1:3" x14ac:dyDescent="0.35">
      <c r="A52">
        <v>28</v>
      </c>
      <c r="B52">
        <v>2.255673839722089</v>
      </c>
      <c r="C52">
        <v>0.74432616027791099</v>
      </c>
    </row>
    <row r="53" spans="1:3" x14ac:dyDescent="0.35">
      <c r="A53">
        <v>29</v>
      </c>
      <c r="B53">
        <v>1.5600363794314871</v>
      </c>
      <c r="C53">
        <v>-0.5600363794314871</v>
      </c>
    </row>
    <row r="54" spans="1:3" x14ac:dyDescent="0.35">
      <c r="A54">
        <v>30</v>
      </c>
      <c r="B54">
        <v>3.0382659825490155</v>
      </c>
      <c r="C54">
        <v>-3.8265982549015476E-2</v>
      </c>
    </row>
    <row r="55" spans="1:3" x14ac:dyDescent="0.35">
      <c r="A55">
        <v>31</v>
      </c>
      <c r="B55">
        <v>3.0382659825490155</v>
      </c>
      <c r="C55">
        <v>-3.8265982549015476E-2</v>
      </c>
    </row>
    <row r="56" spans="1:3" x14ac:dyDescent="0.35">
      <c r="A56">
        <v>32</v>
      </c>
      <c r="B56">
        <v>3.0382659825490155</v>
      </c>
      <c r="C56">
        <v>0.96173401745098452</v>
      </c>
    </row>
    <row r="57" spans="1:3" x14ac:dyDescent="0.35">
      <c r="A57">
        <v>33</v>
      </c>
      <c r="B57">
        <v>4.5164955856665436</v>
      </c>
      <c r="C57">
        <v>-0.51649558566654363</v>
      </c>
    </row>
    <row r="58" spans="1:3" x14ac:dyDescent="0.35">
      <c r="A58">
        <v>34</v>
      </c>
      <c r="B58">
        <v>1.5600363794314871</v>
      </c>
      <c r="C58">
        <v>-0.5600363794314871</v>
      </c>
    </row>
    <row r="59" spans="1:3" x14ac:dyDescent="0.35">
      <c r="A59">
        <v>35</v>
      </c>
      <c r="B59">
        <v>2.6034925698673899</v>
      </c>
      <c r="C59">
        <v>-0.60349256986738986</v>
      </c>
    </row>
    <row r="60" spans="1:3" x14ac:dyDescent="0.35">
      <c r="A60">
        <v>36</v>
      </c>
      <c r="B60">
        <v>2.6034925698673899</v>
      </c>
      <c r="C60">
        <v>-0.60349256986738986</v>
      </c>
    </row>
    <row r="61" spans="1:3" x14ac:dyDescent="0.35">
      <c r="A61">
        <v>37</v>
      </c>
      <c r="B61">
        <v>5.2990877284934719</v>
      </c>
      <c r="C61">
        <v>0.70091227150652813</v>
      </c>
    </row>
    <row r="62" spans="1:3" x14ac:dyDescent="0.35">
      <c r="A62">
        <v>38</v>
      </c>
      <c r="B62">
        <v>4.951268998348171</v>
      </c>
      <c r="C62">
        <v>-0.95126899834817102</v>
      </c>
    </row>
    <row r="63" spans="1:3" x14ac:dyDescent="0.35">
      <c r="A63">
        <v>39</v>
      </c>
      <c r="B63">
        <v>3.7339034428396172</v>
      </c>
      <c r="C63">
        <v>-0.73390344283961717</v>
      </c>
    </row>
    <row r="64" spans="1:3" x14ac:dyDescent="0.35">
      <c r="A64">
        <v>40</v>
      </c>
      <c r="B64">
        <v>2.255673839722089</v>
      </c>
      <c r="C64">
        <v>-0.25567383972208901</v>
      </c>
    </row>
    <row r="65" spans="1:3" x14ac:dyDescent="0.35">
      <c r="A65">
        <v>41</v>
      </c>
      <c r="B65">
        <v>1.8209004270404627</v>
      </c>
      <c r="C65">
        <v>1.1790995729595373</v>
      </c>
    </row>
    <row r="66" spans="1:3" x14ac:dyDescent="0.35">
      <c r="A66">
        <v>42</v>
      </c>
      <c r="B66">
        <v>4.5164955856665436</v>
      </c>
      <c r="C66">
        <v>0.48350441433345637</v>
      </c>
    </row>
    <row r="67" spans="1:3" x14ac:dyDescent="0.35">
      <c r="A67">
        <v>43</v>
      </c>
      <c r="B67">
        <v>3.0382659825490155</v>
      </c>
      <c r="C67">
        <v>-3.8265982549015476E-2</v>
      </c>
    </row>
    <row r="68" spans="1:3" x14ac:dyDescent="0.35">
      <c r="A68">
        <v>44</v>
      </c>
      <c r="B68">
        <v>1.4730816968951619</v>
      </c>
      <c r="C68">
        <v>-0.47308169689516189</v>
      </c>
    </row>
    <row r="69" spans="1:3" x14ac:dyDescent="0.35">
      <c r="A69">
        <v>45</v>
      </c>
      <c r="B69">
        <v>1.5600363794314871</v>
      </c>
      <c r="C69">
        <v>-0.5600363794314871</v>
      </c>
    </row>
    <row r="70" spans="1:3" x14ac:dyDescent="0.35">
      <c r="A70">
        <v>46</v>
      </c>
      <c r="B70">
        <v>1.4730816968951619</v>
      </c>
      <c r="C70">
        <v>1.5269183031048381</v>
      </c>
    </row>
    <row r="71" spans="1:3" x14ac:dyDescent="0.35">
      <c r="A71">
        <v>47</v>
      </c>
      <c r="B71">
        <v>2.6034925698673899</v>
      </c>
      <c r="C71">
        <v>-0.60349256986738986</v>
      </c>
    </row>
    <row r="72" spans="1:3" x14ac:dyDescent="0.35">
      <c r="A72">
        <v>48</v>
      </c>
      <c r="B72">
        <v>4.5164955856665436</v>
      </c>
      <c r="C72">
        <v>-1.5164955856665436</v>
      </c>
    </row>
    <row r="73" spans="1:3" x14ac:dyDescent="0.35">
      <c r="A73">
        <v>49</v>
      </c>
      <c r="B73">
        <v>6.0816798713203983</v>
      </c>
      <c r="C73">
        <v>-1.0816798713203983</v>
      </c>
    </row>
    <row r="74" spans="1:3" x14ac:dyDescent="0.35">
      <c r="A74">
        <v>50</v>
      </c>
      <c r="B74">
        <v>2.255673839722089</v>
      </c>
      <c r="C74">
        <v>0.74432616027791099</v>
      </c>
    </row>
    <row r="75" spans="1:3" x14ac:dyDescent="0.35">
      <c r="A75">
        <v>51</v>
      </c>
      <c r="B75">
        <v>3.0382659825490155</v>
      </c>
      <c r="C75">
        <v>-2.0382659825490155</v>
      </c>
    </row>
    <row r="76" spans="1:3" x14ac:dyDescent="0.35">
      <c r="A76">
        <v>52</v>
      </c>
      <c r="B76">
        <v>1.4730816968951619</v>
      </c>
      <c r="C76">
        <v>-0.47308169689516189</v>
      </c>
    </row>
    <row r="77" spans="1:3" x14ac:dyDescent="0.35">
      <c r="A77">
        <v>53</v>
      </c>
      <c r="B77">
        <v>6.8642720141473248</v>
      </c>
      <c r="C77">
        <v>-0.8642720141473248</v>
      </c>
    </row>
    <row r="78" spans="1:3" x14ac:dyDescent="0.35">
      <c r="A78">
        <v>54</v>
      </c>
      <c r="B78">
        <v>3.7339034428396172</v>
      </c>
      <c r="C78">
        <v>-0.73390344283961717</v>
      </c>
    </row>
    <row r="79" spans="1:3" x14ac:dyDescent="0.35">
      <c r="A79">
        <v>55</v>
      </c>
      <c r="B79">
        <v>2.255673839722089</v>
      </c>
      <c r="C79">
        <v>-0.25567383972208901</v>
      </c>
    </row>
    <row r="80" spans="1:3" x14ac:dyDescent="0.35">
      <c r="A80">
        <v>56</v>
      </c>
      <c r="B80">
        <v>2.255673839722089</v>
      </c>
      <c r="C80">
        <v>-0.25567383972208901</v>
      </c>
    </row>
    <row r="81" spans="1:3" x14ac:dyDescent="0.35">
      <c r="A81">
        <v>57</v>
      </c>
      <c r="B81">
        <v>2.255673839722089</v>
      </c>
      <c r="C81">
        <v>0.74432616027791099</v>
      </c>
    </row>
    <row r="82" spans="1:3" x14ac:dyDescent="0.35">
      <c r="A82">
        <v>58</v>
      </c>
      <c r="B82">
        <v>3.0382659825490155</v>
      </c>
      <c r="C82">
        <v>-3.8265982549015476E-2</v>
      </c>
    </row>
    <row r="83" spans="1:3" x14ac:dyDescent="0.35">
      <c r="A83">
        <v>59</v>
      </c>
      <c r="B83">
        <v>3.7339034428396172</v>
      </c>
      <c r="C83">
        <v>-0.73390344283961717</v>
      </c>
    </row>
    <row r="84" spans="1:3" x14ac:dyDescent="0.35">
      <c r="A84">
        <v>60</v>
      </c>
      <c r="B84">
        <v>1.4730816968951619</v>
      </c>
      <c r="C84">
        <v>-0.47308169689516189</v>
      </c>
    </row>
    <row r="85" spans="1:3" x14ac:dyDescent="0.35">
      <c r="A85">
        <v>61</v>
      </c>
      <c r="B85">
        <v>6.8642720141473248</v>
      </c>
      <c r="C85">
        <v>3.1357279858526752</v>
      </c>
    </row>
    <row r="86" spans="1:3" x14ac:dyDescent="0.35">
      <c r="A86">
        <v>62</v>
      </c>
      <c r="B86">
        <v>3.0382659825490155</v>
      </c>
      <c r="C86">
        <v>0.96173401745098452</v>
      </c>
    </row>
    <row r="87" spans="1:3" x14ac:dyDescent="0.35">
      <c r="A87">
        <v>63</v>
      </c>
      <c r="B87">
        <v>1.6469910619678123</v>
      </c>
      <c r="C87">
        <v>1.3530089380321877</v>
      </c>
    </row>
    <row r="88" spans="1:3" x14ac:dyDescent="0.35">
      <c r="A88">
        <v>64</v>
      </c>
      <c r="B88">
        <v>2.6034925698673899</v>
      </c>
      <c r="C88">
        <v>2.3965074301326101</v>
      </c>
    </row>
    <row r="89" spans="1:3" x14ac:dyDescent="0.35">
      <c r="A89">
        <v>65</v>
      </c>
      <c r="B89">
        <v>3.7339034428396172</v>
      </c>
      <c r="C89">
        <v>-0.73390344283961717</v>
      </c>
    </row>
    <row r="90" spans="1:3" x14ac:dyDescent="0.35">
      <c r="A90">
        <v>66</v>
      </c>
      <c r="B90">
        <v>6.8642720141473248</v>
      </c>
      <c r="C90">
        <v>3.1357279858526752</v>
      </c>
    </row>
    <row r="91" spans="1:3" x14ac:dyDescent="0.35">
      <c r="A91">
        <v>67</v>
      </c>
      <c r="B91">
        <v>3.0382659825490155</v>
      </c>
      <c r="C91">
        <v>-1.0382659825490155</v>
      </c>
    </row>
    <row r="92" spans="1:3" x14ac:dyDescent="0.35">
      <c r="A92">
        <v>68</v>
      </c>
      <c r="B92">
        <v>3.7339034428396172</v>
      </c>
      <c r="C92">
        <v>0.26609655716038283</v>
      </c>
    </row>
    <row r="93" spans="1:3" x14ac:dyDescent="0.35">
      <c r="A93">
        <v>69</v>
      </c>
      <c r="B93">
        <v>4.5164955856665436</v>
      </c>
      <c r="C93">
        <v>1.4835044143334564</v>
      </c>
    </row>
    <row r="94" spans="1:3" x14ac:dyDescent="0.35">
      <c r="A94">
        <v>70</v>
      </c>
      <c r="B94">
        <v>4.951268998348171</v>
      </c>
      <c r="C94">
        <v>4.8731001651828976E-2</v>
      </c>
    </row>
    <row r="95" spans="1:3" x14ac:dyDescent="0.35">
      <c r="A95">
        <v>71</v>
      </c>
      <c r="B95">
        <v>3.0382659825490155</v>
      </c>
      <c r="C95">
        <v>-2.0382659825490155</v>
      </c>
    </row>
    <row r="96" spans="1:3" x14ac:dyDescent="0.35">
      <c r="A96">
        <v>72</v>
      </c>
      <c r="B96">
        <v>9.2120484426281042</v>
      </c>
      <c r="C96">
        <v>3.7879515573718958</v>
      </c>
    </row>
    <row r="97" spans="1:3" x14ac:dyDescent="0.35">
      <c r="A97">
        <v>73</v>
      </c>
      <c r="B97">
        <v>5.2990877284934719</v>
      </c>
      <c r="C97">
        <v>-0.29908772849347187</v>
      </c>
    </row>
    <row r="98" spans="1:3" x14ac:dyDescent="0.35">
      <c r="A98">
        <v>74</v>
      </c>
      <c r="B98">
        <v>2.6034925698673899</v>
      </c>
      <c r="C98">
        <v>-0.60349256986738986</v>
      </c>
    </row>
    <row r="99" spans="1:3" x14ac:dyDescent="0.35">
      <c r="A99">
        <v>75</v>
      </c>
      <c r="B99">
        <v>5.2990877284934719</v>
      </c>
      <c r="C99">
        <v>-1.2990877284934719</v>
      </c>
    </row>
    <row r="100" spans="1:3" x14ac:dyDescent="0.35">
      <c r="A100">
        <v>76</v>
      </c>
      <c r="B100">
        <v>3.0382659825490155</v>
      </c>
      <c r="C100">
        <v>-2.0382659825490155</v>
      </c>
    </row>
    <row r="101" spans="1:3" x14ac:dyDescent="0.35">
      <c r="A101">
        <v>77</v>
      </c>
      <c r="B101">
        <v>2.255673839722089</v>
      </c>
      <c r="C101">
        <v>0.74432616027791099</v>
      </c>
    </row>
    <row r="102" spans="1:3" x14ac:dyDescent="0.35">
      <c r="A102">
        <v>78</v>
      </c>
      <c r="B102">
        <v>5.7338611411750975</v>
      </c>
      <c r="C102">
        <v>-0.73386114117509749</v>
      </c>
    </row>
    <row r="103" spans="1:3" x14ac:dyDescent="0.35">
      <c r="A103">
        <v>79</v>
      </c>
      <c r="B103">
        <v>4.5164955856665436</v>
      </c>
      <c r="C103">
        <v>0.48350441433345637</v>
      </c>
    </row>
    <row r="104" spans="1:3" x14ac:dyDescent="0.35">
      <c r="A104">
        <v>80</v>
      </c>
      <c r="B104">
        <v>6.8642720141473248</v>
      </c>
      <c r="C104">
        <v>0.1357279858526752</v>
      </c>
    </row>
    <row r="105" spans="1:3" x14ac:dyDescent="0.35">
      <c r="A105">
        <v>81</v>
      </c>
      <c r="B105">
        <v>1.8209004270404627</v>
      </c>
      <c r="C105">
        <v>-0.82090042704046273</v>
      </c>
    </row>
    <row r="106" spans="1:3" x14ac:dyDescent="0.35">
      <c r="A106">
        <v>82</v>
      </c>
      <c r="B106">
        <v>1.4730816968951619</v>
      </c>
      <c r="C106">
        <v>-0.47308169689516189</v>
      </c>
    </row>
    <row r="107" spans="1:3" x14ac:dyDescent="0.35">
      <c r="A107">
        <v>83</v>
      </c>
      <c r="B107">
        <v>2.7774019349400398</v>
      </c>
      <c r="C107">
        <v>0.22259806505996016</v>
      </c>
    </row>
    <row r="108" spans="1:3" x14ac:dyDescent="0.35">
      <c r="A108">
        <v>84</v>
      </c>
      <c r="B108">
        <v>2.255673839722089</v>
      </c>
      <c r="C108">
        <v>-1.255673839722089</v>
      </c>
    </row>
    <row r="109" spans="1:3" x14ac:dyDescent="0.35">
      <c r="A109">
        <v>85</v>
      </c>
      <c r="B109">
        <v>1.4730816968951619</v>
      </c>
      <c r="C109">
        <v>-0.47308169689516189</v>
      </c>
    </row>
    <row r="110" spans="1:3" x14ac:dyDescent="0.35">
      <c r="A110">
        <v>86</v>
      </c>
      <c r="B110">
        <v>1.038308284213536</v>
      </c>
      <c r="C110">
        <v>1.961691715786464</v>
      </c>
    </row>
    <row r="111" spans="1:3" x14ac:dyDescent="0.35">
      <c r="A111">
        <v>87</v>
      </c>
      <c r="B111">
        <v>3.3860847126943163</v>
      </c>
      <c r="C111">
        <v>-0.38608471269431632</v>
      </c>
    </row>
    <row r="112" spans="1:3" x14ac:dyDescent="0.35">
      <c r="A112">
        <v>88</v>
      </c>
      <c r="B112">
        <v>2.255673839722089</v>
      </c>
      <c r="C112">
        <v>-1.255673839722089</v>
      </c>
    </row>
    <row r="113" spans="1:3" x14ac:dyDescent="0.35">
      <c r="A113">
        <v>89</v>
      </c>
      <c r="B113">
        <v>1.8209004270404627</v>
      </c>
      <c r="C113">
        <v>1.1790995729595373</v>
      </c>
    </row>
    <row r="114" spans="1:3" x14ac:dyDescent="0.35">
      <c r="A114">
        <v>90</v>
      </c>
      <c r="B114">
        <v>1.4730816968951619</v>
      </c>
      <c r="C114">
        <v>-0.47308169689516189</v>
      </c>
    </row>
    <row r="115" spans="1:3" x14ac:dyDescent="0.35">
      <c r="A115">
        <v>91</v>
      </c>
      <c r="B115">
        <v>1.038308284213536</v>
      </c>
      <c r="C115">
        <v>1.961691715786464</v>
      </c>
    </row>
    <row r="116" spans="1:3" x14ac:dyDescent="0.35">
      <c r="A116">
        <v>92</v>
      </c>
      <c r="B116">
        <v>3.7339034428396172</v>
      </c>
      <c r="C116">
        <v>-0.73390344283961717</v>
      </c>
    </row>
    <row r="117" spans="1:3" x14ac:dyDescent="0.35">
      <c r="A117">
        <v>93</v>
      </c>
      <c r="B117">
        <v>1.4730816968951619</v>
      </c>
      <c r="C117">
        <v>-0.47308169689516189</v>
      </c>
    </row>
    <row r="118" spans="1:3" x14ac:dyDescent="0.35">
      <c r="A118">
        <v>94</v>
      </c>
      <c r="B118">
        <v>6.8642720141473248</v>
      </c>
      <c r="C118">
        <v>0.1357279858526752</v>
      </c>
    </row>
    <row r="119" spans="1:3" x14ac:dyDescent="0.35">
      <c r="A119">
        <v>95</v>
      </c>
      <c r="B119">
        <v>5.1251783634208206</v>
      </c>
      <c r="C119">
        <v>3.8748216365791794</v>
      </c>
    </row>
    <row r="120" spans="1:3" x14ac:dyDescent="0.35">
      <c r="A120">
        <v>96</v>
      </c>
      <c r="B120">
        <v>3.7339034428396172</v>
      </c>
      <c r="C120">
        <v>-2.7339034428396172</v>
      </c>
    </row>
    <row r="121" spans="1:3" x14ac:dyDescent="0.35">
      <c r="A121">
        <v>97</v>
      </c>
      <c r="B121">
        <v>3.0382659825490155</v>
      </c>
      <c r="C121">
        <v>-3.8265982549015476E-2</v>
      </c>
    </row>
    <row r="122" spans="1:3" x14ac:dyDescent="0.35">
      <c r="A122">
        <v>98</v>
      </c>
      <c r="B122">
        <v>1.6469910619678123</v>
      </c>
      <c r="C122">
        <v>1.3530089380321877</v>
      </c>
    </row>
    <row r="123" spans="1:3" x14ac:dyDescent="0.35">
      <c r="A123">
        <v>99</v>
      </c>
      <c r="B123">
        <v>1.4730816968951619</v>
      </c>
      <c r="C123">
        <v>-0.47308169689516189</v>
      </c>
    </row>
    <row r="124" spans="1:3" x14ac:dyDescent="0.35">
      <c r="A124">
        <v>100</v>
      </c>
      <c r="B124">
        <v>1.038308284213536</v>
      </c>
      <c r="C124">
        <v>-3.8308284213536048E-2</v>
      </c>
    </row>
    <row r="125" spans="1:3" x14ac:dyDescent="0.35">
      <c r="A125">
        <v>101</v>
      </c>
      <c r="B125">
        <v>1.8209004270404627</v>
      </c>
      <c r="C125">
        <v>0.17909957295953727</v>
      </c>
    </row>
    <row r="126" spans="1:3" x14ac:dyDescent="0.35">
      <c r="A126">
        <v>102</v>
      </c>
      <c r="B126">
        <v>7.6468641569742513</v>
      </c>
      <c r="C126">
        <v>0.35313584302574874</v>
      </c>
    </row>
    <row r="127" spans="1:3" x14ac:dyDescent="0.35">
      <c r="A127">
        <v>103</v>
      </c>
      <c r="B127">
        <v>1.8209004270404627</v>
      </c>
      <c r="C127">
        <v>0.17909957295953727</v>
      </c>
    </row>
    <row r="128" spans="1:3" x14ac:dyDescent="0.35">
      <c r="A128">
        <v>104</v>
      </c>
      <c r="B128">
        <v>3.0382659825490155</v>
      </c>
      <c r="C128">
        <v>-3.8265982549015476E-2</v>
      </c>
    </row>
    <row r="129" spans="1:3" x14ac:dyDescent="0.35">
      <c r="A129">
        <v>105</v>
      </c>
      <c r="B129">
        <v>4.951268998348171</v>
      </c>
      <c r="C129">
        <v>-0.95126899834817102</v>
      </c>
    </row>
    <row r="130" spans="1:3" x14ac:dyDescent="0.35">
      <c r="A130">
        <v>106</v>
      </c>
      <c r="B130">
        <v>3.0382659825490155</v>
      </c>
      <c r="C130">
        <v>-3.8265982549015476E-2</v>
      </c>
    </row>
    <row r="131" spans="1:3" x14ac:dyDescent="0.35">
      <c r="A131">
        <v>107</v>
      </c>
      <c r="B131">
        <v>5.2990877284934719</v>
      </c>
      <c r="C131">
        <v>-2.2990877284934719</v>
      </c>
    </row>
    <row r="132" spans="1:3" x14ac:dyDescent="0.35">
      <c r="A132">
        <v>108</v>
      </c>
      <c r="B132">
        <v>5.2990877284934719</v>
      </c>
      <c r="C132">
        <v>0.70091227150652813</v>
      </c>
    </row>
    <row r="133" spans="1:3" x14ac:dyDescent="0.35">
      <c r="A133">
        <v>109</v>
      </c>
      <c r="B133">
        <v>4.951268998348171</v>
      </c>
      <c r="C133">
        <v>4.8731001651828976E-2</v>
      </c>
    </row>
    <row r="134" spans="1:3" x14ac:dyDescent="0.35">
      <c r="A134">
        <v>110</v>
      </c>
      <c r="B134">
        <v>2.255673839722089</v>
      </c>
      <c r="C134">
        <v>0.74432616027791099</v>
      </c>
    </row>
    <row r="135" spans="1:3" x14ac:dyDescent="0.35">
      <c r="A135">
        <v>111</v>
      </c>
      <c r="B135">
        <v>4.1686768555212428</v>
      </c>
      <c r="C135">
        <v>-0.16867685552124279</v>
      </c>
    </row>
    <row r="136" spans="1:3" x14ac:dyDescent="0.35">
      <c r="A136">
        <v>112</v>
      </c>
      <c r="B136">
        <v>6.8642720141473248</v>
      </c>
      <c r="C136">
        <v>-1.8642720141473248</v>
      </c>
    </row>
    <row r="137" spans="1:3" x14ac:dyDescent="0.35">
      <c r="A137">
        <v>113</v>
      </c>
      <c r="B137">
        <v>2.255673839722089</v>
      </c>
      <c r="C137">
        <v>0.74432616027791099</v>
      </c>
    </row>
    <row r="138" spans="1:3" x14ac:dyDescent="0.35">
      <c r="A138">
        <v>114</v>
      </c>
      <c r="B138">
        <v>1.5600363794314871</v>
      </c>
      <c r="C138">
        <v>-0.5600363794314871</v>
      </c>
    </row>
    <row r="139" spans="1:3" x14ac:dyDescent="0.35">
      <c r="A139">
        <v>115</v>
      </c>
      <c r="B139">
        <v>4.3425862205938941</v>
      </c>
      <c r="C139">
        <v>-1.3425862205938941</v>
      </c>
    </row>
    <row r="140" spans="1:3" x14ac:dyDescent="0.35">
      <c r="A140">
        <v>116</v>
      </c>
      <c r="B140">
        <v>3.0382659825490155</v>
      </c>
      <c r="C140">
        <v>-1.0382659825490155</v>
      </c>
    </row>
    <row r="141" spans="1:3" x14ac:dyDescent="0.35">
      <c r="A141">
        <v>117</v>
      </c>
      <c r="B141">
        <v>7.6468641569742513</v>
      </c>
      <c r="C141">
        <v>0.35313584302574874</v>
      </c>
    </row>
    <row r="142" spans="1:3" x14ac:dyDescent="0.35">
      <c r="A142">
        <v>118</v>
      </c>
      <c r="B142">
        <v>4.5164955856665436</v>
      </c>
      <c r="C142">
        <v>-1.5164955856665436</v>
      </c>
    </row>
    <row r="143" spans="1:3" x14ac:dyDescent="0.35">
      <c r="A143">
        <v>119</v>
      </c>
      <c r="B143">
        <v>3.0382659825490155</v>
      </c>
      <c r="C143">
        <v>-3.8265982549015476E-2</v>
      </c>
    </row>
    <row r="144" spans="1:3" x14ac:dyDescent="0.35">
      <c r="A144">
        <v>120</v>
      </c>
      <c r="B144">
        <v>1.5600363794314871</v>
      </c>
      <c r="C144">
        <v>-0.5600363794314871</v>
      </c>
    </row>
    <row r="145" spans="1:3" x14ac:dyDescent="0.35">
      <c r="A145">
        <v>121</v>
      </c>
      <c r="B145">
        <v>3.7339034428396172</v>
      </c>
      <c r="C145">
        <v>-0.73390344283961717</v>
      </c>
    </row>
    <row r="146" spans="1:3" x14ac:dyDescent="0.35">
      <c r="A146">
        <v>122</v>
      </c>
      <c r="B146">
        <v>3.7339034428396172</v>
      </c>
      <c r="C146">
        <v>1.2660965571603828</v>
      </c>
    </row>
    <row r="147" spans="1:3" x14ac:dyDescent="0.35">
      <c r="A147">
        <v>123</v>
      </c>
      <c r="B147">
        <v>9.2120484426281042</v>
      </c>
      <c r="C147">
        <v>3.7879515573718958</v>
      </c>
    </row>
    <row r="148" spans="1:3" x14ac:dyDescent="0.35">
      <c r="A148">
        <v>124</v>
      </c>
      <c r="B148">
        <v>2.6034925698673899</v>
      </c>
      <c r="C148">
        <v>0.39650743013261014</v>
      </c>
    </row>
    <row r="149" spans="1:3" x14ac:dyDescent="0.35">
      <c r="A149">
        <v>125</v>
      </c>
      <c r="B149">
        <v>3.0382659825490155</v>
      </c>
      <c r="C149">
        <v>-3.8265982549015476E-2</v>
      </c>
    </row>
    <row r="150" spans="1:3" x14ac:dyDescent="0.35">
      <c r="A150">
        <v>126</v>
      </c>
      <c r="B150">
        <v>1.4730816968951619</v>
      </c>
      <c r="C150">
        <v>1.5269183031048381</v>
      </c>
    </row>
    <row r="151" spans="1:3" x14ac:dyDescent="0.35">
      <c r="A151">
        <v>127</v>
      </c>
      <c r="B151">
        <v>4.3425862205938941</v>
      </c>
      <c r="C151">
        <v>-1.3425862205938941</v>
      </c>
    </row>
    <row r="152" spans="1:3" x14ac:dyDescent="0.35">
      <c r="A152">
        <v>128</v>
      </c>
      <c r="B152">
        <v>2.255673839722089</v>
      </c>
      <c r="C152">
        <v>-0.25567383972208901</v>
      </c>
    </row>
    <row r="153" spans="1:3" x14ac:dyDescent="0.35">
      <c r="A153">
        <v>129</v>
      </c>
      <c r="B153">
        <v>2.255673839722089</v>
      </c>
      <c r="C153">
        <v>-0.25567383972208901</v>
      </c>
    </row>
    <row r="154" spans="1:3" x14ac:dyDescent="0.35">
      <c r="A154">
        <v>130</v>
      </c>
      <c r="B154">
        <v>2.6034925698673899</v>
      </c>
      <c r="C154">
        <v>2.3965074301326101</v>
      </c>
    </row>
    <row r="155" spans="1:3" x14ac:dyDescent="0.35">
      <c r="A155">
        <v>131</v>
      </c>
      <c r="B155">
        <v>1.4730816968951619</v>
      </c>
      <c r="C155">
        <v>0.52691830310483811</v>
      </c>
    </row>
    <row r="156" spans="1:3" x14ac:dyDescent="0.35">
      <c r="A156">
        <v>132</v>
      </c>
      <c r="B156">
        <v>4.1686768555212428</v>
      </c>
      <c r="C156">
        <v>-0.16867685552124279</v>
      </c>
    </row>
    <row r="157" spans="1:3" x14ac:dyDescent="0.35">
      <c r="A157">
        <v>133</v>
      </c>
      <c r="B157">
        <v>1.8209004270404627</v>
      </c>
      <c r="C157">
        <v>0.17909957295953727</v>
      </c>
    </row>
    <row r="158" spans="1:3" x14ac:dyDescent="0.35">
      <c r="A158">
        <v>134</v>
      </c>
      <c r="B158">
        <v>1.4730816968951619</v>
      </c>
      <c r="C158">
        <v>0.52691830310483811</v>
      </c>
    </row>
    <row r="159" spans="1:3" x14ac:dyDescent="0.35">
      <c r="A159">
        <v>135</v>
      </c>
      <c r="B159">
        <v>3.3860847126943163</v>
      </c>
      <c r="C159">
        <v>-0.38608471269431632</v>
      </c>
    </row>
    <row r="160" spans="1:3" x14ac:dyDescent="0.35">
      <c r="A160">
        <v>136</v>
      </c>
      <c r="B160">
        <v>6.8642720141473248</v>
      </c>
      <c r="C160">
        <v>-1.8642720141473248</v>
      </c>
    </row>
    <row r="161" spans="1:3" x14ac:dyDescent="0.35">
      <c r="A161">
        <v>137</v>
      </c>
      <c r="B161">
        <v>5.7338611411750975</v>
      </c>
      <c r="C161">
        <v>1.2661388588249025</v>
      </c>
    </row>
    <row r="162" spans="1:3" x14ac:dyDescent="0.35">
      <c r="A162">
        <v>138</v>
      </c>
      <c r="B162">
        <v>3.0382659825490155</v>
      </c>
      <c r="C162">
        <v>-3.8265982549015476E-2</v>
      </c>
    </row>
    <row r="163" spans="1:3" x14ac:dyDescent="0.35">
      <c r="A163">
        <v>139</v>
      </c>
      <c r="B163">
        <v>1.4730816968951619</v>
      </c>
      <c r="C163">
        <v>1.5269183031048381</v>
      </c>
    </row>
    <row r="164" spans="1:3" x14ac:dyDescent="0.35">
      <c r="A164">
        <v>140</v>
      </c>
      <c r="B164">
        <v>1.4730816968951619</v>
      </c>
      <c r="C164">
        <v>-0.47308169689516189</v>
      </c>
    </row>
    <row r="165" spans="1:3" x14ac:dyDescent="0.35">
      <c r="A165">
        <v>141</v>
      </c>
      <c r="B165">
        <v>5.2990877284934719</v>
      </c>
      <c r="C165">
        <v>-0.29908772849347187</v>
      </c>
    </row>
    <row r="166" spans="1:3" x14ac:dyDescent="0.35">
      <c r="A166">
        <v>142</v>
      </c>
      <c r="B166">
        <v>2.255673839722089</v>
      </c>
      <c r="C166">
        <v>-0.25567383972208901</v>
      </c>
    </row>
    <row r="167" spans="1:3" x14ac:dyDescent="0.35">
      <c r="A167">
        <v>143</v>
      </c>
      <c r="B167">
        <v>1.8209004270404627</v>
      </c>
      <c r="C167">
        <v>1.1790995729595373</v>
      </c>
    </row>
    <row r="168" spans="1:3" x14ac:dyDescent="0.35">
      <c r="A168">
        <v>144</v>
      </c>
      <c r="B168">
        <v>1.5600363794314871</v>
      </c>
      <c r="C168">
        <v>-0.5600363794314871</v>
      </c>
    </row>
    <row r="169" spans="1:3" x14ac:dyDescent="0.35">
      <c r="A169">
        <v>145</v>
      </c>
      <c r="B169">
        <v>1.038308284213536</v>
      </c>
      <c r="C169">
        <v>-3.8308284213536048E-2</v>
      </c>
    </row>
    <row r="170" spans="1:3" x14ac:dyDescent="0.35">
      <c r="A170">
        <v>146</v>
      </c>
      <c r="B170">
        <v>3.0382659825490155</v>
      </c>
      <c r="C170">
        <v>-3.8265982549015476E-2</v>
      </c>
    </row>
    <row r="171" spans="1:3" x14ac:dyDescent="0.35">
      <c r="A171">
        <v>147</v>
      </c>
      <c r="B171">
        <v>1.5600363794314871</v>
      </c>
      <c r="C171">
        <v>-0.5600363794314871</v>
      </c>
    </row>
    <row r="172" spans="1:3" x14ac:dyDescent="0.35">
      <c r="A172">
        <v>148</v>
      </c>
      <c r="B172">
        <v>6.8642720141473248</v>
      </c>
      <c r="C172">
        <v>-0.8642720141473248</v>
      </c>
    </row>
    <row r="173" spans="1:3" x14ac:dyDescent="0.35">
      <c r="A173">
        <v>149</v>
      </c>
      <c r="B173">
        <v>1.8209004270404627</v>
      </c>
      <c r="C173">
        <v>1.1790995729595373</v>
      </c>
    </row>
    <row r="174" spans="1:3" x14ac:dyDescent="0.35">
      <c r="A174">
        <v>150</v>
      </c>
      <c r="B174">
        <v>2.255673839722089</v>
      </c>
      <c r="C174">
        <v>0.74432616027791099</v>
      </c>
    </row>
    <row r="175" spans="1:3" x14ac:dyDescent="0.35">
      <c r="A175">
        <v>151</v>
      </c>
      <c r="B175">
        <v>1.8209004270404627</v>
      </c>
      <c r="C175">
        <v>-0.82090042704046273</v>
      </c>
    </row>
    <row r="176" spans="1:3" x14ac:dyDescent="0.35">
      <c r="A176">
        <v>152</v>
      </c>
      <c r="B176">
        <v>4.5164955856665436</v>
      </c>
      <c r="C176">
        <v>0.48350441433345637</v>
      </c>
    </row>
    <row r="177" spans="1:3" x14ac:dyDescent="0.35">
      <c r="A177">
        <v>153</v>
      </c>
      <c r="B177">
        <v>3.0382659825490155</v>
      </c>
      <c r="C177">
        <v>-3.8265982549015476E-2</v>
      </c>
    </row>
    <row r="178" spans="1:3" x14ac:dyDescent="0.35">
      <c r="A178">
        <v>154</v>
      </c>
      <c r="B178">
        <v>2.255673839722089</v>
      </c>
      <c r="C178">
        <v>0.74432616027791099</v>
      </c>
    </row>
    <row r="179" spans="1:3" x14ac:dyDescent="0.35">
      <c r="A179">
        <v>155</v>
      </c>
      <c r="B179">
        <v>4.5164955856665436</v>
      </c>
      <c r="C179">
        <v>-0.51649558566654363</v>
      </c>
    </row>
    <row r="180" spans="1:3" x14ac:dyDescent="0.35">
      <c r="A180">
        <v>156</v>
      </c>
      <c r="B180">
        <v>3.3860847126943163</v>
      </c>
      <c r="C180">
        <v>-0.38608471269431632</v>
      </c>
    </row>
    <row r="181" spans="1:3" x14ac:dyDescent="0.35">
      <c r="A181">
        <v>157</v>
      </c>
      <c r="B181">
        <v>3.0382659825490155</v>
      </c>
      <c r="C181">
        <v>-3.8265982549015476E-2</v>
      </c>
    </row>
    <row r="182" spans="1:3" x14ac:dyDescent="0.35">
      <c r="A182">
        <v>158</v>
      </c>
      <c r="B182">
        <v>2.255673839722089</v>
      </c>
      <c r="C182">
        <v>-0.25567383972208901</v>
      </c>
    </row>
    <row r="183" spans="1:3" x14ac:dyDescent="0.35">
      <c r="A183">
        <v>159</v>
      </c>
      <c r="B183">
        <v>1.8209004270404627</v>
      </c>
      <c r="C183">
        <v>0.17909957295953727</v>
      </c>
    </row>
    <row r="184" spans="1:3" x14ac:dyDescent="0.35">
      <c r="A184">
        <v>160</v>
      </c>
      <c r="B184">
        <v>3.0382659825490155</v>
      </c>
      <c r="C184">
        <v>-3.8265982549015476E-2</v>
      </c>
    </row>
    <row r="185" spans="1:3" x14ac:dyDescent="0.35">
      <c r="A185">
        <v>161</v>
      </c>
      <c r="B185">
        <v>5.7338611411750975</v>
      </c>
      <c r="C185">
        <v>-0.73386114117509749</v>
      </c>
    </row>
    <row r="186" spans="1:3" x14ac:dyDescent="0.35">
      <c r="A186">
        <v>162</v>
      </c>
      <c r="B186">
        <v>3.0382659825490155</v>
      </c>
      <c r="C186">
        <v>-3.8265982549015476E-2</v>
      </c>
    </row>
    <row r="187" spans="1:3" x14ac:dyDescent="0.35">
      <c r="A187">
        <v>163</v>
      </c>
      <c r="B187">
        <v>2.255673839722089</v>
      </c>
      <c r="C187">
        <v>0.74432616027791099</v>
      </c>
    </row>
    <row r="188" spans="1:3" x14ac:dyDescent="0.35">
      <c r="A188">
        <v>164</v>
      </c>
      <c r="B188">
        <v>5.2990877284934719</v>
      </c>
      <c r="C188">
        <v>-0.29908772849347187</v>
      </c>
    </row>
    <row r="189" spans="1:3" x14ac:dyDescent="0.35">
      <c r="A189">
        <v>165</v>
      </c>
      <c r="B189">
        <v>3.7339034428396172</v>
      </c>
      <c r="C189">
        <v>-2.7339034428396172</v>
      </c>
    </row>
    <row r="190" spans="1:3" x14ac:dyDescent="0.35">
      <c r="A190">
        <v>166</v>
      </c>
      <c r="B190">
        <v>1.8209004270404627</v>
      </c>
      <c r="C190">
        <v>0.17909957295953727</v>
      </c>
    </row>
    <row r="191" spans="1:3" x14ac:dyDescent="0.35">
      <c r="A191">
        <v>167</v>
      </c>
      <c r="B191">
        <v>2.255673839722089</v>
      </c>
      <c r="C191">
        <v>0.74432616027791099</v>
      </c>
    </row>
    <row r="192" spans="1:3" x14ac:dyDescent="0.35">
      <c r="A192">
        <v>168</v>
      </c>
      <c r="B192">
        <v>1.8209004270404627</v>
      </c>
      <c r="C192">
        <v>1.1790995729595373</v>
      </c>
    </row>
    <row r="193" spans="1:3" x14ac:dyDescent="0.35">
      <c r="A193">
        <v>169</v>
      </c>
      <c r="B193">
        <v>4.951268998348171</v>
      </c>
      <c r="C193">
        <v>-1.951268998348171</v>
      </c>
    </row>
    <row r="194" spans="1:3" x14ac:dyDescent="0.35">
      <c r="A194">
        <v>170</v>
      </c>
      <c r="B194">
        <v>1.5600363794314871</v>
      </c>
      <c r="C194">
        <v>-0.5600363794314871</v>
      </c>
    </row>
    <row r="195" spans="1:3" x14ac:dyDescent="0.35">
      <c r="A195">
        <v>171</v>
      </c>
      <c r="B195">
        <v>4.5164955856665436</v>
      </c>
      <c r="C195">
        <v>1.4835044143334564</v>
      </c>
    </row>
    <row r="196" spans="1:3" x14ac:dyDescent="0.35">
      <c r="A196">
        <v>172</v>
      </c>
      <c r="B196">
        <v>1.4730816968951619</v>
      </c>
      <c r="C196">
        <v>0.52691830310483811</v>
      </c>
    </row>
    <row r="197" spans="1:3" x14ac:dyDescent="0.35">
      <c r="A197">
        <v>173</v>
      </c>
      <c r="B197">
        <v>3.7339034428396172</v>
      </c>
      <c r="C197">
        <v>0.26609655716038283</v>
      </c>
    </row>
    <row r="198" spans="1:3" x14ac:dyDescent="0.35">
      <c r="A198">
        <v>174</v>
      </c>
      <c r="B198">
        <v>1.5600363794314871</v>
      </c>
      <c r="C198">
        <v>0.4399636205685129</v>
      </c>
    </row>
    <row r="199" spans="1:3" x14ac:dyDescent="0.35">
      <c r="A199">
        <v>175</v>
      </c>
      <c r="B199">
        <v>1.8209004270404627</v>
      </c>
      <c r="C199">
        <v>-0.82090042704046273</v>
      </c>
    </row>
    <row r="200" spans="1:3" x14ac:dyDescent="0.35">
      <c r="A200">
        <v>176</v>
      </c>
      <c r="B200">
        <v>4.5164955856665436</v>
      </c>
      <c r="C200">
        <v>-1.5164955856665436</v>
      </c>
    </row>
    <row r="201" spans="1:3" x14ac:dyDescent="0.35">
      <c r="A201">
        <v>177</v>
      </c>
      <c r="B201">
        <v>4.5164955856665436</v>
      </c>
      <c r="C201">
        <v>-0.51649558566654363</v>
      </c>
    </row>
    <row r="202" spans="1:3" x14ac:dyDescent="0.35">
      <c r="A202">
        <v>178</v>
      </c>
      <c r="B202">
        <v>3.0382659825490155</v>
      </c>
      <c r="C202">
        <v>-3.8265982549015476E-2</v>
      </c>
    </row>
    <row r="203" spans="1:3" x14ac:dyDescent="0.35">
      <c r="A203">
        <v>179</v>
      </c>
      <c r="B203">
        <v>5.2990877284934719</v>
      </c>
      <c r="C203">
        <v>-0.29908772849347187</v>
      </c>
    </row>
    <row r="204" spans="1:3" x14ac:dyDescent="0.35">
      <c r="A204">
        <v>180</v>
      </c>
      <c r="B204">
        <v>6.0816798713203983</v>
      </c>
      <c r="C204">
        <v>-1.0816798713203983</v>
      </c>
    </row>
    <row r="205" spans="1:3" x14ac:dyDescent="0.35">
      <c r="A205">
        <v>181</v>
      </c>
      <c r="B205">
        <v>1.4730816968951619</v>
      </c>
      <c r="C205">
        <v>1.5269183031048381</v>
      </c>
    </row>
    <row r="206" spans="1:3" x14ac:dyDescent="0.35">
      <c r="A206">
        <v>182</v>
      </c>
      <c r="B206">
        <v>4.5164955856665436</v>
      </c>
      <c r="C206">
        <v>-1.5164955856665436</v>
      </c>
    </row>
    <row r="207" spans="1:3" x14ac:dyDescent="0.35">
      <c r="A207">
        <v>183</v>
      </c>
      <c r="B207">
        <v>3.0382659825490155</v>
      </c>
      <c r="C207">
        <v>-2.0382659825490155</v>
      </c>
    </row>
    <row r="208" spans="1:3" x14ac:dyDescent="0.35">
      <c r="A208">
        <v>184</v>
      </c>
      <c r="B208">
        <v>3.0382659825490155</v>
      </c>
      <c r="C208">
        <v>-3.8265982549015476E-2</v>
      </c>
    </row>
    <row r="209" spans="1:3" x14ac:dyDescent="0.35">
      <c r="A209">
        <v>185</v>
      </c>
      <c r="B209">
        <v>1.8209004270404627</v>
      </c>
      <c r="C209">
        <v>0.17909957295953727</v>
      </c>
    </row>
    <row r="210" spans="1:3" x14ac:dyDescent="0.35">
      <c r="A210">
        <v>186</v>
      </c>
      <c r="B210">
        <v>3.3860847126943163</v>
      </c>
      <c r="C210">
        <v>-0.38608471269431632</v>
      </c>
    </row>
    <row r="211" spans="1:3" x14ac:dyDescent="0.35">
      <c r="A211">
        <v>187</v>
      </c>
      <c r="B211">
        <v>4.951268998348171</v>
      </c>
      <c r="C211">
        <v>-0.95126899834817102</v>
      </c>
    </row>
    <row r="212" spans="1:3" x14ac:dyDescent="0.35">
      <c r="A212">
        <v>188</v>
      </c>
      <c r="B212">
        <v>1.5600363794314871</v>
      </c>
      <c r="C212">
        <v>0.4399636205685129</v>
      </c>
    </row>
    <row r="213" spans="1:3" x14ac:dyDescent="0.35">
      <c r="A213">
        <v>189</v>
      </c>
      <c r="B213">
        <v>3.7339034428396172</v>
      </c>
      <c r="C213">
        <v>1.2660965571603828</v>
      </c>
    </row>
    <row r="214" spans="1:3" x14ac:dyDescent="0.35">
      <c r="A214">
        <v>190</v>
      </c>
      <c r="B214">
        <v>2.255673839722089</v>
      </c>
      <c r="C214">
        <v>0.74432616027791099</v>
      </c>
    </row>
    <row r="215" spans="1:3" x14ac:dyDescent="0.35">
      <c r="A215">
        <v>191</v>
      </c>
      <c r="B215">
        <v>4.951268998348171</v>
      </c>
      <c r="C215">
        <v>-1.951268998348171</v>
      </c>
    </row>
    <row r="216" spans="1:3" x14ac:dyDescent="0.35">
      <c r="A216">
        <v>192</v>
      </c>
      <c r="B216">
        <v>3.0382659825490155</v>
      </c>
      <c r="C216">
        <v>-3.8265982549015476E-2</v>
      </c>
    </row>
    <row r="217" spans="1:3" x14ac:dyDescent="0.35">
      <c r="A217">
        <v>193</v>
      </c>
      <c r="B217">
        <v>1.5600363794314871</v>
      </c>
      <c r="C217">
        <v>-0.5600363794314871</v>
      </c>
    </row>
    <row r="218" spans="1:3" x14ac:dyDescent="0.35">
      <c r="A218">
        <v>194</v>
      </c>
      <c r="B218">
        <v>3.0382659825490155</v>
      </c>
      <c r="C218">
        <v>-3.8265982549015476E-2</v>
      </c>
    </row>
    <row r="219" spans="1:3" x14ac:dyDescent="0.35">
      <c r="A219">
        <v>195</v>
      </c>
      <c r="B219">
        <v>1.5600363794314871</v>
      </c>
      <c r="C219">
        <v>-0.5600363794314871</v>
      </c>
    </row>
    <row r="220" spans="1:3" x14ac:dyDescent="0.35">
      <c r="A220">
        <v>196</v>
      </c>
      <c r="B220">
        <v>5.7338611411750975</v>
      </c>
      <c r="C220">
        <v>1.2661388588249025</v>
      </c>
    </row>
    <row r="221" spans="1:3" x14ac:dyDescent="0.35">
      <c r="A221">
        <v>197</v>
      </c>
      <c r="B221">
        <v>1.9948097921131134</v>
      </c>
      <c r="C221">
        <v>1.0051902078868866</v>
      </c>
    </row>
    <row r="222" spans="1:3" x14ac:dyDescent="0.35">
      <c r="A222">
        <v>198</v>
      </c>
      <c r="B222">
        <v>3.0382659825490155</v>
      </c>
      <c r="C222">
        <v>-1.0382659825490155</v>
      </c>
    </row>
    <row r="223" spans="1:3" x14ac:dyDescent="0.35">
      <c r="A223">
        <v>199</v>
      </c>
      <c r="B223">
        <v>2.6034925698673899</v>
      </c>
      <c r="C223">
        <v>0.39650743013261014</v>
      </c>
    </row>
    <row r="224" spans="1:3" ht="15" thickBot="1" x14ac:dyDescent="0.4">
      <c r="A224" s="92">
        <v>200</v>
      </c>
      <c r="B224" s="92">
        <v>4.5164955856665436</v>
      </c>
      <c r="C224" s="92">
        <v>0.48350441433345637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1"/>
  <sheetViews>
    <sheetView tabSelected="1" topLeftCell="A31" zoomScale="55" zoomScaleNormal="55" workbookViewId="0">
      <selection activeCell="Q83" sqref="Q83"/>
    </sheetView>
  </sheetViews>
  <sheetFormatPr defaultRowHeight="14.5" x14ac:dyDescent="0.35"/>
  <cols>
    <col min="1" max="1" width="15.1796875" customWidth="1"/>
    <col min="2" max="2" width="11.26953125" customWidth="1"/>
    <col min="3" max="3" width="17.453125" customWidth="1"/>
    <col min="4" max="4" width="21.81640625" customWidth="1"/>
    <col min="5" max="5" width="10.7265625" customWidth="1"/>
    <col min="6" max="6" width="11.7265625" customWidth="1"/>
    <col min="8" max="8" width="10.26953125" customWidth="1"/>
    <col min="14" max="14" width="10" customWidth="1"/>
    <col min="20" max="20" width="13.81640625" bestFit="1" customWidth="1"/>
    <col min="31" max="31" width="15.453125" bestFit="1" customWidth="1"/>
  </cols>
  <sheetData>
    <row r="1" spans="1:31" ht="42.75" customHeight="1" thickBot="1" x14ac:dyDescent="0.4">
      <c r="A1" s="2" t="s">
        <v>12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3</v>
      </c>
      <c r="H1" s="126" t="s">
        <v>3</v>
      </c>
      <c r="I1" s="127"/>
      <c r="J1" s="127"/>
      <c r="K1" s="128"/>
      <c r="M1" s="129" t="s">
        <v>18</v>
      </c>
      <c r="N1" s="130"/>
      <c r="O1" s="130"/>
      <c r="P1" s="130"/>
      <c r="Q1" s="131"/>
    </row>
    <row r="2" spans="1:31" ht="34.5" x14ac:dyDescent="0.35">
      <c r="A2" s="1">
        <v>2</v>
      </c>
      <c r="B2" s="3" t="s">
        <v>4</v>
      </c>
      <c r="C2" s="1" t="s">
        <v>5</v>
      </c>
      <c r="D2" s="4" t="s">
        <v>6</v>
      </c>
      <c r="E2">
        <v>81</v>
      </c>
      <c r="F2" s="1">
        <v>27</v>
      </c>
      <c r="H2" s="10" t="s">
        <v>22</v>
      </c>
      <c r="I2" s="10" t="s">
        <v>16</v>
      </c>
      <c r="J2" s="10" t="s">
        <v>20</v>
      </c>
      <c r="K2" s="10" t="s">
        <v>21</v>
      </c>
      <c r="M2" s="11" t="s">
        <v>22</v>
      </c>
      <c r="N2" s="11" t="s">
        <v>16</v>
      </c>
      <c r="O2" s="11" t="s">
        <v>20</v>
      </c>
      <c r="P2" s="11" t="s">
        <v>21</v>
      </c>
      <c r="Q2" s="11" t="s">
        <v>23</v>
      </c>
    </row>
    <row r="3" spans="1:31" ht="15" thickBot="1" x14ac:dyDescent="0.4">
      <c r="A3" s="1">
        <v>3</v>
      </c>
      <c r="B3" s="3" t="s">
        <v>4</v>
      </c>
      <c r="C3" s="1" t="s">
        <v>5</v>
      </c>
      <c r="D3" s="4" t="s">
        <v>7</v>
      </c>
      <c r="E3">
        <v>108</v>
      </c>
      <c r="F3" s="1">
        <v>56</v>
      </c>
      <c r="H3" s="8">
        <v>11</v>
      </c>
      <c r="I3" s="9">
        <f t="array" ref="I3:I17">FREQUENCY(F2:F201,H3:H16)</f>
        <v>0</v>
      </c>
      <c r="J3" s="9">
        <f>H3/2</f>
        <v>5.5</v>
      </c>
      <c r="K3" s="9">
        <f>IFERROR(I3/COUNT($A$2:$A$201), "")</f>
        <v>0</v>
      </c>
      <c r="M3" s="8">
        <v>1</v>
      </c>
      <c r="N3" s="9">
        <f t="array" ref="N3:N16">FREQUENCY(E2:E201,M3:M15)</f>
        <v>0</v>
      </c>
      <c r="O3" s="9">
        <f>M3/2</f>
        <v>0.5</v>
      </c>
      <c r="P3" s="9">
        <f>IFERROR(N3/COUNT($A$2:$A$201), "")</f>
        <v>0</v>
      </c>
      <c r="Q3" s="9">
        <f>N3</f>
        <v>0</v>
      </c>
    </row>
    <row r="4" spans="1:31" ht="15" thickBot="1" x14ac:dyDescent="0.4">
      <c r="A4" s="1">
        <v>3</v>
      </c>
      <c r="B4" s="3" t="s">
        <v>4</v>
      </c>
      <c r="C4" s="1" t="s">
        <v>8</v>
      </c>
      <c r="D4" s="4" t="s">
        <v>9</v>
      </c>
      <c r="E4">
        <v>66</v>
      </c>
      <c r="F4" s="1">
        <v>35</v>
      </c>
      <c r="H4" s="8">
        <v>15</v>
      </c>
      <c r="I4" s="9">
        <v>0</v>
      </c>
      <c r="J4" s="9">
        <f>AVERAGE(H3,H4)</f>
        <v>13</v>
      </c>
      <c r="K4" s="9">
        <f t="shared" ref="K4:K17" si="0">IFERROR(I4/COUNT($A$2:$A$201), "")</f>
        <v>0</v>
      </c>
      <c r="M4" s="8">
        <v>10</v>
      </c>
      <c r="N4" s="9">
        <v>0</v>
      </c>
      <c r="O4" s="9">
        <f>AVERAGE(M3,M4)</f>
        <v>5.5</v>
      </c>
      <c r="P4" s="9">
        <f t="shared" ref="P4:P16" si="1">IFERROR(N4/COUNT($A$2:$A$201), "")</f>
        <v>0</v>
      </c>
      <c r="Q4" s="9">
        <f>SUM($N$3:N4)</f>
        <v>0</v>
      </c>
    </row>
    <row r="5" spans="1:31" ht="15" thickBot="1" x14ac:dyDescent="0.4">
      <c r="A5" s="1">
        <v>9</v>
      </c>
      <c r="B5" s="3" t="s">
        <v>4</v>
      </c>
      <c r="C5" s="1" t="s">
        <v>5</v>
      </c>
      <c r="D5" s="4" t="s">
        <v>9</v>
      </c>
      <c r="E5">
        <v>180</v>
      </c>
      <c r="F5" s="1">
        <v>64</v>
      </c>
      <c r="H5" s="8">
        <v>20</v>
      </c>
      <c r="I5" s="9">
        <v>2</v>
      </c>
      <c r="J5" s="9">
        <f t="shared" ref="J5:J17" si="2">AVERAGE(H4,H5)</f>
        <v>17.5</v>
      </c>
      <c r="K5" s="9">
        <f t="shared" si="0"/>
        <v>0.01</v>
      </c>
      <c r="M5" s="8">
        <v>20</v>
      </c>
      <c r="N5" s="9">
        <v>0</v>
      </c>
      <c r="O5" s="9">
        <f t="shared" ref="O5:O16" si="3">AVERAGE(M4,M5)</f>
        <v>15</v>
      </c>
      <c r="P5" s="9">
        <f t="shared" si="1"/>
        <v>0</v>
      </c>
      <c r="Q5" s="9">
        <f>SUM($N$3:N5)</f>
        <v>0</v>
      </c>
    </row>
    <row r="6" spans="1:31" ht="15" thickBot="1" x14ac:dyDescent="0.4">
      <c r="A6" s="1">
        <v>3</v>
      </c>
      <c r="B6" s="3" t="s">
        <v>4</v>
      </c>
      <c r="C6" s="1" t="s">
        <v>5</v>
      </c>
      <c r="D6" s="4" t="s">
        <v>6</v>
      </c>
      <c r="E6">
        <v>81</v>
      </c>
      <c r="F6" s="1">
        <v>50</v>
      </c>
      <c r="H6" s="8">
        <v>25</v>
      </c>
      <c r="I6" s="9">
        <v>14</v>
      </c>
      <c r="J6" s="9">
        <f t="shared" si="2"/>
        <v>22.5</v>
      </c>
      <c r="K6" s="9">
        <f t="shared" si="0"/>
        <v>7.0000000000000007E-2</v>
      </c>
      <c r="M6" s="8">
        <v>30</v>
      </c>
      <c r="N6" s="9">
        <v>0</v>
      </c>
      <c r="O6" s="9">
        <f t="shared" si="3"/>
        <v>25</v>
      </c>
      <c r="P6" s="9">
        <f t="shared" si="1"/>
        <v>0</v>
      </c>
      <c r="Q6" s="9">
        <f>SUM($N$3:N6)</f>
        <v>0</v>
      </c>
    </row>
    <row r="7" spans="1:31" ht="15" thickBot="1" x14ac:dyDescent="0.4">
      <c r="A7" s="1">
        <v>3</v>
      </c>
      <c r="B7" s="3" t="s">
        <v>4</v>
      </c>
      <c r="C7" s="1" t="s">
        <v>8</v>
      </c>
      <c r="D7" s="4" t="s">
        <v>7</v>
      </c>
      <c r="E7">
        <v>72</v>
      </c>
      <c r="F7" s="1">
        <v>26</v>
      </c>
      <c r="H7" s="8">
        <v>30</v>
      </c>
      <c r="I7" s="9">
        <v>32</v>
      </c>
      <c r="J7" s="9">
        <f t="shared" si="2"/>
        <v>27.5</v>
      </c>
      <c r="K7" s="9">
        <f t="shared" si="0"/>
        <v>0.16</v>
      </c>
      <c r="M7" s="8">
        <v>40</v>
      </c>
      <c r="N7" s="9">
        <v>4</v>
      </c>
      <c r="O7" s="9">
        <f t="shared" si="3"/>
        <v>35</v>
      </c>
      <c r="P7" s="9">
        <f t="shared" si="1"/>
        <v>0.02</v>
      </c>
      <c r="Q7" s="9">
        <f>SUM($N$3:N7)</f>
        <v>4</v>
      </c>
    </row>
    <row r="8" spans="1:31" ht="15" thickBot="1" x14ac:dyDescent="0.4">
      <c r="A8" s="1">
        <v>3</v>
      </c>
      <c r="B8" s="3" t="s">
        <v>4</v>
      </c>
      <c r="C8" s="1" t="s">
        <v>5</v>
      </c>
      <c r="D8" s="4" t="s">
        <v>7</v>
      </c>
      <c r="E8">
        <v>81</v>
      </c>
      <c r="F8" s="1">
        <v>49</v>
      </c>
      <c r="H8" s="8">
        <v>35</v>
      </c>
      <c r="I8" s="9">
        <v>32</v>
      </c>
      <c r="J8" s="9">
        <f t="shared" si="2"/>
        <v>32.5</v>
      </c>
      <c r="K8" s="9">
        <f t="shared" si="0"/>
        <v>0.16</v>
      </c>
      <c r="M8" s="8">
        <v>50</v>
      </c>
      <c r="N8" s="9">
        <v>0</v>
      </c>
      <c r="O8" s="9">
        <f t="shared" si="3"/>
        <v>45</v>
      </c>
      <c r="P8" s="9">
        <f t="shared" si="1"/>
        <v>0</v>
      </c>
      <c r="Q8" s="9">
        <f>SUM($N$3:N8)</f>
        <v>4</v>
      </c>
    </row>
    <row r="9" spans="1:31" ht="15" thickBot="1" x14ac:dyDescent="0.4">
      <c r="A9" s="1">
        <v>3</v>
      </c>
      <c r="B9" s="3" t="s">
        <v>4</v>
      </c>
      <c r="C9" s="1" t="s">
        <v>8</v>
      </c>
      <c r="D9" s="4" t="s">
        <v>9</v>
      </c>
      <c r="E9">
        <v>93</v>
      </c>
      <c r="F9" s="1">
        <v>34</v>
      </c>
      <c r="H9" s="8">
        <v>40</v>
      </c>
      <c r="I9" s="9">
        <v>22</v>
      </c>
      <c r="J9" s="9">
        <f t="shared" si="2"/>
        <v>37.5</v>
      </c>
      <c r="K9" s="9">
        <f t="shared" si="0"/>
        <v>0.11</v>
      </c>
      <c r="M9" s="8">
        <v>60</v>
      </c>
      <c r="N9" s="9">
        <v>34</v>
      </c>
      <c r="O9" s="9">
        <f t="shared" si="3"/>
        <v>55</v>
      </c>
      <c r="P9" s="9">
        <f t="shared" si="1"/>
        <v>0.17</v>
      </c>
      <c r="Q9" s="9">
        <f>SUM($N$3:N9)</f>
        <v>38</v>
      </c>
    </row>
    <row r="10" spans="1:31" ht="15" thickBot="1" x14ac:dyDescent="0.4">
      <c r="A10" s="1">
        <v>1</v>
      </c>
      <c r="B10" s="3" t="s">
        <v>10</v>
      </c>
      <c r="C10" s="1" t="s">
        <v>5</v>
      </c>
      <c r="D10" s="4" t="s">
        <v>7</v>
      </c>
      <c r="E10">
        <v>66</v>
      </c>
      <c r="F10" s="1">
        <v>35</v>
      </c>
      <c r="H10" s="8">
        <v>45</v>
      </c>
      <c r="I10" s="9">
        <v>24</v>
      </c>
      <c r="J10" s="9">
        <f t="shared" si="2"/>
        <v>42.5</v>
      </c>
      <c r="K10" s="9">
        <f t="shared" si="0"/>
        <v>0.12</v>
      </c>
      <c r="M10" s="8">
        <v>70</v>
      </c>
      <c r="N10" s="9">
        <v>18</v>
      </c>
      <c r="O10" s="9">
        <f t="shared" si="3"/>
        <v>65</v>
      </c>
      <c r="P10" s="9">
        <f t="shared" si="1"/>
        <v>0.09</v>
      </c>
      <c r="Q10" s="9">
        <f>SUM($N$3:N10)</f>
        <v>56</v>
      </c>
    </row>
    <row r="11" spans="1:31" ht="15" thickBot="1" x14ac:dyDescent="0.4">
      <c r="A11" s="1">
        <v>3</v>
      </c>
      <c r="B11" s="3" t="s">
        <v>4</v>
      </c>
      <c r="C11" s="1" t="s">
        <v>5</v>
      </c>
      <c r="D11" s="4" t="s">
        <v>6</v>
      </c>
      <c r="E11">
        <v>81</v>
      </c>
      <c r="F11" s="1">
        <v>36</v>
      </c>
      <c r="H11" s="8">
        <v>50</v>
      </c>
      <c r="I11" s="9">
        <v>22</v>
      </c>
      <c r="J11" s="9">
        <f t="shared" si="2"/>
        <v>47.5</v>
      </c>
      <c r="K11" s="9">
        <f t="shared" si="0"/>
        <v>0.11</v>
      </c>
      <c r="M11" s="8">
        <v>80</v>
      </c>
      <c r="N11" s="9">
        <v>2</v>
      </c>
      <c r="O11" s="9">
        <f t="shared" si="3"/>
        <v>75</v>
      </c>
      <c r="P11" s="9">
        <f t="shared" si="1"/>
        <v>0.01</v>
      </c>
      <c r="Q11" s="9">
        <f>SUM($N$3:N11)</f>
        <v>58</v>
      </c>
    </row>
    <row r="12" spans="1:31" ht="15" thickBot="1" x14ac:dyDescent="0.4">
      <c r="A12" s="1">
        <v>1</v>
      </c>
      <c r="B12" s="3" t="s">
        <v>4</v>
      </c>
      <c r="C12" s="1" t="s">
        <v>5</v>
      </c>
      <c r="D12" s="4" t="s">
        <v>7</v>
      </c>
      <c r="E12">
        <v>57</v>
      </c>
      <c r="F12" s="1">
        <v>65</v>
      </c>
      <c r="H12" s="8">
        <v>55</v>
      </c>
      <c r="I12" s="9">
        <v>18</v>
      </c>
      <c r="J12" s="9">
        <f t="shared" si="2"/>
        <v>52.5</v>
      </c>
      <c r="K12" s="9">
        <f t="shared" si="0"/>
        <v>0.09</v>
      </c>
      <c r="M12" s="8">
        <v>90</v>
      </c>
      <c r="N12" s="9">
        <v>24</v>
      </c>
      <c r="O12" s="9">
        <f t="shared" si="3"/>
        <v>85</v>
      </c>
      <c r="P12" s="9">
        <f t="shared" si="1"/>
        <v>0.12</v>
      </c>
      <c r="Q12" s="9">
        <f>SUM($N$3:N12)</f>
        <v>82</v>
      </c>
    </row>
    <row r="13" spans="1:31" ht="15" thickBot="1" x14ac:dyDescent="0.4">
      <c r="A13" s="1">
        <v>1</v>
      </c>
      <c r="B13" s="3" t="s">
        <v>10</v>
      </c>
      <c r="C13" s="1" t="s">
        <v>5</v>
      </c>
      <c r="D13" s="4" t="s">
        <v>7</v>
      </c>
      <c r="E13">
        <v>54</v>
      </c>
      <c r="F13" s="1">
        <v>60</v>
      </c>
      <c r="H13" s="8">
        <v>60</v>
      </c>
      <c r="I13" s="9">
        <v>20</v>
      </c>
      <c r="J13" s="9">
        <f t="shared" si="2"/>
        <v>57.5</v>
      </c>
      <c r="K13" s="9">
        <f t="shared" si="0"/>
        <v>0.1</v>
      </c>
      <c r="M13" s="8">
        <v>100</v>
      </c>
      <c r="N13" s="9">
        <v>12</v>
      </c>
      <c r="O13" s="9">
        <f t="shared" si="3"/>
        <v>95</v>
      </c>
      <c r="P13" s="9">
        <f t="shared" si="1"/>
        <v>0.06</v>
      </c>
      <c r="Q13" s="9">
        <f>SUM($N$3:N13)</f>
        <v>94</v>
      </c>
    </row>
    <row r="14" spans="1:31" ht="15" thickBot="1" x14ac:dyDescent="0.4">
      <c r="A14" s="1">
        <v>4</v>
      </c>
      <c r="B14" s="3" t="s">
        <v>4</v>
      </c>
      <c r="C14" s="1" t="s">
        <v>8</v>
      </c>
      <c r="D14" s="4" t="s">
        <v>7</v>
      </c>
      <c r="E14">
        <v>159</v>
      </c>
      <c r="F14" s="1">
        <v>73</v>
      </c>
      <c r="H14" s="8">
        <v>65</v>
      </c>
      <c r="I14" s="9">
        <v>8</v>
      </c>
      <c r="J14" s="9">
        <f t="shared" si="2"/>
        <v>62.5</v>
      </c>
      <c r="K14" s="9">
        <f t="shared" si="0"/>
        <v>0.04</v>
      </c>
      <c r="M14" s="8">
        <v>110</v>
      </c>
      <c r="N14" s="9">
        <v>32</v>
      </c>
      <c r="O14" s="9">
        <f t="shared" si="3"/>
        <v>105</v>
      </c>
      <c r="P14" s="9">
        <f t="shared" si="1"/>
        <v>0.16</v>
      </c>
      <c r="Q14" s="9">
        <f>SUM($N$3:N14)</f>
        <v>126</v>
      </c>
      <c r="S14" t="s">
        <v>121</v>
      </c>
      <c r="U14" s="5"/>
      <c r="AC14" t="s">
        <v>124</v>
      </c>
    </row>
    <row r="15" spans="1:31" ht="15" thickBot="1" x14ac:dyDescent="0.4">
      <c r="A15" s="1">
        <v>2</v>
      </c>
      <c r="B15" s="3" t="s">
        <v>4</v>
      </c>
      <c r="C15" s="1" t="s">
        <v>5</v>
      </c>
      <c r="D15" s="4" t="s">
        <v>6</v>
      </c>
      <c r="E15">
        <v>54</v>
      </c>
      <c r="F15" s="1">
        <v>42</v>
      </c>
      <c r="H15" s="8">
        <v>71</v>
      </c>
      <c r="I15" s="9">
        <v>2</v>
      </c>
      <c r="J15" s="9">
        <f t="shared" si="2"/>
        <v>68</v>
      </c>
      <c r="K15" s="9">
        <f t="shared" si="0"/>
        <v>0.01</v>
      </c>
      <c r="M15" s="8">
        <v>120</v>
      </c>
      <c r="N15" s="9">
        <v>4</v>
      </c>
      <c r="O15" s="9">
        <f t="shared" si="3"/>
        <v>115</v>
      </c>
      <c r="P15" s="9">
        <f t="shared" si="1"/>
        <v>0.02</v>
      </c>
      <c r="Q15" s="9">
        <f>SUM($N$3:N15)</f>
        <v>130</v>
      </c>
      <c r="S15" s="1"/>
      <c r="T15" t="s">
        <v>122</v>
      </c>
      <c r="U15" s="5"/>
    </row>
    <row r="16" spans="1:31" ht="15" thickBot="1" x14ac:dyDescent="0.4">
      <c r="A16" s="1">
        <v>4</v>
      </c>
      <c r="B16" s="3" t="s">
        <v>10</v>
      </c>
      <c r="C16" s="1" t="s">
        <v>5</v>
      </c>
      <c r="D16" s="4" t="s">
        <v>9</v>
      </c>
      <c r="E16">
        <v>174</v>
      </c>
      <c r="F16" s="1">
        <v>39</v>
      </c>
      <c r="H16" s="8">
        <v>75</v>
      </c>
      <c r="I16" s="9">
        <v>4</v>
      </c>
      <c r="J16" s="9">
        <f t="shared" si="2"/>
        <v>73</v>
      </c>
      <c r="K16" s="9">
        <f t="shared" si="0"/>
        <v>0.02</v>
      </c>
      <c r="M16" s="8"/>
      <c r="N16" s="9">
        <v>70</v>
      </c>
      <c r="O16" s="9">
        <f t="shared" si="3"/>
        <v>120</v>
      </c>
      <c r="P16" s="9">
        <f t="shared" si="1"/>
        <v>0.35</v>
      </c>
      <c r="Q16" s="9">
        <f>SUM($N$3:N16)</f>
        <v>200</v>
      </c>
      <c r="S16" s="1" t="s">
        <v>24</v>
      </c>
      <c r="T16">
        <f>SKEW(I3:I17)</f>
        <v>0.25063905897818661</v>
      </c>
      <c r="U16" s="5" t="s">
        <v>25</v>
      </c>
      <c r="AC16" s="1" t="s">
        <v>24</v>
      </c>
      <c r="AD16">
        <f>SKEW(N3:N17)</f>
        <v>3.0641787195988996</v>
      </c>
      <c r="AE16" s="5" t="s">
        <v>123</v>
      </c>
    </row>
    <row r="17" spans="1:31" ht="15" thickBot="1" x14ac:dyDescent="0.4">
      <c r="A17" s="1">
        <v>8</v>
      </c>
      <c r="B17" s="3" t="s">
        <v>10</v>
      </c>
      <c r="C17" s="1" t="s">
        <v>8</v>
      </c>
      <c r="D17" s="4" t="s">
        <v>7</v>
      </c>
      <c r="E17">
        <v>267</v>
      </c>
      <c r="F17" s="1">
        <v>26</v>
      </c>
      <c r="H17" s="8"/>
      <c r="I17" s="9">
        <v>0</v>
      </c>
      <c r="J17" s="9">
        <f t="shared" si="2"/>
        <v>75</v>
      </c>
      <c r="K17" s="9">
        <f t="shared" si="0"/>
        <v>0</v>
      </c>
      <c r="M17" s="8" t="s">
        <v>17</v>
      </c>
      <c r="N17" s="9">
        <f>SUM(N3:N16)</f>
        <v>200</v>
      </c>
      <c r="O17" s="9">
        <f t="shared" ref="O17:P17" si="4">SUM(O3:O16)</f>
        <v>841</v>
      </c>
      <c r="P17" s="9">
        <f t="shared" si="4"/>
        <v>1</v>
      </c>
      <c r="Q17" s="9"/>
      <c r="S17" s="1" t="s">
        <v>26</v>
      </c>
      <c r="U17" s="96">
        <f>AVERAGE(F2:F201)</f>
        <v>41.54</v>
      </c>
      <c r="AC17" t="s">
        <v>28</v>
      </c>
      <c r="AE17" s="97">
        <f>MEDIAN(E2:E201)</f>
        <v>108</v>
      </c>
    </row>
    <row r="18" spans="1:31" ht="15" thickBot="1" x14ac:dyDescent="0.4">
      <c r="A18" s="1">
        <v>4</v>
      </c>
      <c r="B18" s="3" t="s">
        <v>10</v>
      </c>
      <c r="C18" s="1" t="s">
        <v>5</v>
      </c>
      <c r="D18" s="4" t="s">
        <v>7</v>
      </c>
      <c r="E18">
        <v>186</v>
      </c>
      <c r="F18" s="1">
        <v>23</v>
      </c>
      <c r="H18" s="8" t="s">
        <v>17</v>
      </c>
      <c r="I18" s="9">
        <f>SUM(I3:I16)</f>
        <v>200</v>
      </c>
      <c r="J18" s="9">
        <f>SUM(J3:J16)</f>
        <v>559.5</v>
      </c>
      <c r="K18" s="9">
        <f>SUM(K3:K16)</f>
        <v>1</v>
      </c>
      <c r="S18" s="13" t="s">
        <v>27</v>
      </c>
      <c r="U18" s="96">
        <f>_xlfn.STDEV.S(F2:F201)</f>
        <v>12.729438045916407</v>
      </c>
      <c r="AC18" s="12" t="s">
        <v>29</v>
      </c>
      <c r="AE18" s="97">
        <f>AE21-AE20</f>
        <v>93</v>
      </c>
    </row>
    <row r="19" spans="1:31" x14ac:dyDescent="0.35">
      <c r="A19" s="1">
        <v>8</v>
      </c>
      <c r="B19" s="3" t="s">
        <v>4</v>
      </c>
      <c r="C19" s="1" t="s">
        <v>8</v>
      </c>
      <c r="D19" s="4" t="s">
        <v>9</v>
      </c>
      <c r="E19">
        <v>267</v>
      </c>
      <c r="F19" s="1">
        <v>70</v>
      </c>
      <c r="H19" s="1"/>
      <c r="J19" s="5"/>
      <c r="S19" s="1" t="s">
        <v>32</v>
      </c>
      <c r="U19" s="97">
        <f>MODE(F2:F201)</f>
        <v>35</v>
      </c>
      <c r="AC19" s="12"/>
      <c r="AE19" s="97"/>
    </row>
    <row r="20" spans="1:31" x14ac:dyDescent="0.35">
      <c r="A20" s="1">
        <v>3</v>
      </c>
      <c r="B20" s="3" t="s">
        <v>4</v>
      </c>
      <c r="C20" s="1" t="s">
        <v>5</v>
      </c>
      <c r="D20" s="4" t="s">
        <v>9</v>
      </c>
      <c r="E20">
        <v>93</v>
      </c>
      <c r="F20" s="1">
        <v>34</v>
      </c>
      <c r="H20" s="1"/>
      <c r="J20" s="5"/>
      <c r="S20" t="s">
        <v>28</v>
      </c>
      <c r="U20" s="97">
        <f>MEDIAN(F2:F201)</f>
        <v>40</v>
      </c>
      <c r="AC20" s="12" t="s">
        <v>30</v>
      </c>
      <c r="AE20" s="97">
        <f>_xlfn.QUARTILE.INC(E2:E201,1)</f>
        <v>66</v>
      </c>
    </row>
    <row r="21" spans="1:31" x14ac:dyDescent="0.35">
      <c r="A21" s="1">
        <v>2</v>
      </c>
      <c r="B21" s="3" t="s">
        <v>10</v>
      </c>
      <c r="C21" s="1" t="s">
        <v>8</v>
      </c>
      <c r="D21" s="4" t="s">
        <v>7</v>
      </c>
      <c r="E21">
        <v>108</v>
      </c>
      <c r="F21" s="1">
        <v>53</v>
      </c>
      <c r="H21" s="1"/>
      <c r="J21" s="5"/>
      <c r="S21" s="13" t="s">
        <v>34</v>
      </c>
      <c r="U21" s="97">
        <f>_xlfn.VAR.S(F2:F201)</f>
        <v>162.03859296482409</v>
      </c>
      <c r="AC21" s="12" t="s">
        <v>31</v>
      </c>
      <c r="AE21" s="97">
        <f>_xlfn.QUARTILE.INC(E2:E201,3)</f>
        <v>159</v>
      </c>
    </row>
    <row r="22" spans="1:31" x14ac:dyDescent="0.35">
      <c r="A22" s="1">
        <v>3</v>
      </c>
      <c r="B22" s="3" t="s">
        <v>4</v>
      </c>
      <c r="C22" s="1" t="s">
        <v>5</v>
      </c>
      <c r="D22" s="4" t="s">
        <v>7</v>
      </c>
      <c r="E22">
        <v>186</v>
      </c>
      <c r="F22" s="1">
        <v>28</v>
      </c>
      <c r="H22" s="1"/>
      <c r="J22" s="5"/>
      <c r="AC22" s="1" t="s">
        <v>26</v>
      </c>
      <c r="AE22" s="97">
        <f>AVERAGE(E2:E201)</f>
        <v>116.34</v>
      </c>
    </row>
    <row r="23" spans="1:31" x14ac:dyDescent="0.35">
      <c r="A23" s="1">
        <v>1</v>
      </c>
      <c r="B23" s="3" t="s">
        <v>4</v>
      </c>
      <c r="C23" s="1" t="s">
        <v>5</v>
      </c>
      <c r="D23" s="4" t="s">
        <v>6</v>
      </c>
      <c r="E23">
        <v>57</v>
      </c>
      <c r="F23" s="1">
        <v>50</v>
      </c>
      <c r="H23" s="1"/>
      <c r="J23" s="5"/>
      <c r="AC23" s="12" t="s">
        <v>33</v>
      </c>
      <c r="AD23">
        <f>MAX(Q4:Q203) - MIN(E2:E201)</f>
        <v>161</v>
      </c>
      <c r="AE23" s="97"/>
    </row>
    <row r="24" spans="1:31" x14ac:dyDescent="0.35">
      <c r="A24" s="1">
        <v>3</v>
      </c>
      <c r="B24" s="3" t="s">
        <v>4</v>
      </c>
      <c r="C24" s="1" t="s">
        <v>5</v>
      </c>
      <c r="D24" s="4" t="s">
        <v>6</v>
      </c>
      <c r="E24">
        <v>66</v>
      </c>
      <c r="F24" s="1">
        <v>53</v>
      </c>
      <c r="H24" s="1"/>
      <c r="J24" s="5"/>
    </row>
    <row r="25" spans="1:31" x14ac:dyDescent="0.35">
      <c r="A25" s="1">
        <v>3</v>
      </c>
      <c r="B25" s="3" t="s">
        <v>4</v>
      </c>
      <c r="C25" s="1" t="s">
        <v>5</v>
      </c>
      <c r="D25" s="4" t="s">
        <v>6</v>
      </c>
      <c r="E25">
        <v>99</v>
      </c>
      <c r="F25" s="1">
        <v>41</v>
      </c>
      <c r="H25" s="1"/>
      <c r="J25" s="5"/>
    </row>
    <row r="26" spans="1:31" x14ac:dyDescent="0.35">
      <c r="A26" s="1">
        <v>3</v>
      </c>
      <c r="B26" s="3" t="s">
        <v>4</v>
      </c>
      <c r="C26" s="1" t="s">
        <v>8</v>
      </c>
      <c r="D26" s="4" t="s">
        <v>7</v>
      </c>
      <c r="E26">
        <v>66</v>
      </c>
      <c r="F26" s="1">
        <v>37</v>
      </c>
      <c r="H26" s="1"/>
      <c r="J26" s="5"/>
    </row>
    <row r="27" spans="1:31" x14ac:dyDescent="0.35">
      <c r="A27" s="1">
        <v>3</v>
      </c>
      <c r="B27" s="3" t="s">
        <v>4</v>
      </c>
      <c r="C27" s="1" t="s">
        <v>5</v>
      </c>
      <c r="D27" s="4" t="s">
        <v>6</v>
      </c>
      <c r="E27">
        <v>108</v>
      </c>
      <c r="F27" s="1">
        <v>50</v>
      </c>
      <c r="H27" s="1"/>
      <c r="J27" s="5"/>
    </row>
    <row r="28" spans="1:31" x14ac:dyDescent="0.35">
      <c r="A28" s="1">
        <v>3</v>
      </c>
      <c r="B28" s="3" t="s">
        <v>10</v>
      </c>
      <c r="C28" s="1" t="s">
        <v>5</v>
      </c>
      <c r="D28" s="4" t="s">
        <v>6</v>
      </c>
      <c r="E28">
        <v>108</v>
      </c>
      <c r="F28" s="1">
        <v>21</v>
      </c>
      <c r="H28" s="1"/>
      <c r="J28" s="5"/>
    </row>
    <row r="29" spans="1:31" x14ac:dyDescent="0.35">
      <c r="A29" s="1">
        <v>3</v>
      </c>
      <c r="B29" s="3" t="s">
        <v>4</v>
      </c>
      <c r="C29" s="1" t="s">
        <v>5</v>
      </c>
      <c r="D29" s="4" t="s">
        <v>6</v>
      </c>
      <c r="E29">
        <v>81</v>
      </c>
      <c r="F29" s="1">
        <v>31</v>
      </c>
      <c r="H29" s="1"/>
      <c r="J29" s="5"/>
    </row>
    <row r="30" spans="1:31" x14ac:dyDescent="0.35">
      <c r="A30" s="1">
        <v>1</v>
      </c>
      <c r="B30" s="3" t="s">
        <v>4</v>
      </c>
      <c r="C30" s="1" t="s">
        <v>5</v>
      </c>
      <c r="D30" s="4" t="s">
        <v>6</v>
      </c>
      <c r="E30">
        <v>57</v>
      </c>
      <c r="F30" s="1">
        <v>32</v>
      </c>
      <c r="H30" s="1"/>
      <c r="J30" s="5"/>
    </row>
    <row r="31" spans="1:31" x14ac:dyDescent="0.35">
      <c r="A31" s="1">
        <v>3</v>
      </c>
      <c r="B31" s="3" t="s">
        <v>4</v>
      </c>
      <c r="C31" s="1" t="s">
        <v>5</v>
      </c>
      <c r="D31" s="4" t="s">
        <v>7</v>
      </c>
      <c r="E31">
        <v>108</v>
      </c>
      <c r="F31" s="1">
        <v>56</v>
      </c>
      <c r="H31" s="1"/>
      <c r="J31" s="5"/>
    </row>
    <row r="32" spans="1:31" x14ac:dyDescent="0.35">
      <c r="A32" s="1">
        <v>3</v>
      </c>
      <c r="B32" s="3" t="s">
        <v>4</v>
      </c>
      <c r="C32" s="1" t="s">
        <v>8</v>
      </c>
      <c r="D32" s="4" t="s">
        <v>6</v>
      </c>
      <c r="E32">
        <v>108</v>
      </c>
      <c r="F32" s="1">
        <v>28</v>
      </c>
      <c r="H32" s="1"/>
      <c r="J32" s="5"/>
    </row>
    <row r="33" spans="1:10" x14ac:dyDescent="0.35">
      <c r="A33" s="1">
        <v>4</v>
      </c>
      <c r="B33" s="3" t="s">
        <v>4</v>
      </c>
      <c r="C33" s="1" t="s">
        <v>5</v>
      </c>
      <c r="D33" s="4" t="s">
        <v>9</v>
      </c>
      <c r="E33">
        <v>108</v>
      </c>
      <c r="F33" s="1">
        <v>45</v>
      </c>
      <c r="H33" s="1"/>
      <c r="J33" s="5"/>
    </row>
    <row r="34" spans="1:10" x14ac:dyDescent="0.35">
      <c r="A34" s="1">
        <v>4</v>
      </c>
      <c r="B34" s="3" t="s">
        <v>4</v>
      </c>
      <c r="C34" s="1" t="s">
        <v>8</v>
      </c>
      <c r="D34" s="4" t="s">
        <v>7</v>
      </c>
      <c r="E34">
        <v>159</v>
      </c>
      <c r="F34" s="1">
        <v>73</v>
      </c>
    </row>
    <row r="35" spans="1:10" x14ac:dyDescent="0.35">
      <c r="A35" s="1">
        <v>1</v>
      </c>
      <c r="B35" s="3" t="s">
        <v>4</v>
      </c>
      <c r="C35" s="1" t="s">
        <v>5</v>
      </c>
      <c r="D35" s="4" t="s">
        <v>6</v>
      </c>
      <c r="E35">
        <v>57</v>
      </c>
      <c r="F35" s="1">
        <v>32</v>
      </c>
    </row>
    <row r="36" spans="1:10" x14ac:dyDescent="0.35">
      <c r="A36" s="1">
        <v>2</v>
      </c>
      <c r="B36" s="3" t="s">
        <v>10</v>
      </c>
      <c r="C36" s="1" t="s">
        <v>8</v>
      </c>
      <c r="D36" s="4" t="s">
        <v>7</v>
      </c>
      <c r="E36">
        <v>93</v>
      </c>
      <c r="F36" s="1">
        <v>18</v>
      </c>
    </row>
    <row r="37" spans="1:10" x14ac:dyDescent="0.35">
      <c r="A37" s="1">
        <v>2</v>
      </c>
      <c r="B37" s="3" t="s">
        <v>10</v>
      </c>
      <c r="C37" s="1" t="s">
        <v>8</v>
      </c>
      <c r="D37" s="4" t="s">
        <v>7</v>
      </c>
      <c r="E37">
        <v>93</v>
      </c>
      <c r="F37" s="1">
        <v>18</v>
      </c>
    </row>
    <row r="38" spans="1:10" x14ac:dyDescent="0.35">
      <c r="A38" s="1">
        <v>6</v>
      </c>
      <c r="B38" s="3" t="s">
        <v>4</v>
      </c>
      <c r="C38" s="1" t="s">
        <v>5</v>
      </c>
      <c r="D38" s="4" t="s">
        <v>6</v>
      </c>
      <c r="E38">
        <v>186</v>
      </c>
      <c r="F38" s="1">
        <v>37</v>
      </c>
    </row>
    <row r="39" spans="1:10" x14ac:dyDescent="0.35">
      <c r="A39" s="1">
        <v>4</v>
      </c>
      <c r="B39" s="3" t="s">
        <v>10</v>
      </c>
      <c r="C39" s="1" t="s">
        <v>5</v>
      </c>
      <c r="D39" s="4" t="s">
        <v>9</v>
      </c>
      <c r="E39">
        <v>174</v>
      </c>
      <c r="F39" s="1">
        <v>39</v>
      </c>
    </row>
    <row r="40" spans="1:10" x14ac:dyDescent="0.35">
      <c r="A40" s="1">
        <v>3</v>
      </c>
      <c r="B40" s="3" t="s">
        <v>10</v>
      </c>
      <c r="C40" s="1" t="s">
        <v>8</v>
      </c>
      <c r="D40" s="4" t="s">
        <v>7</v>
      </c>
      <c r="E40">
        <v>132</v>
      </c>
      <c r="F40" s="1">
        <v>54</v>
      </c>
    </row>
    <row r="41" spans="1:10" x14ac:dyDescent="0.35">
      <c r="A41" s="1">
        <v>2</v>
      </c>
      <c r="B41" s="3" t="s">
        <v>4</v>
      </c>
      <c r="C41" s="1" t="s">
        <v>5</v>
      </c>
      <c r="D41" s="4" t="s">
        <v>7</v>
      </c>
      <c r="E41">
        <v>81</v>
      </c>
      <c r="F41" s="1">
        <v>30</v>
      </c>
      <c r="H41" s="1"/>
      <c r="J41" s="5"/>
    </row>
    <row r="42" spans="1:10" x14ac:dyDescent="0.35">
      <c r="A42" s="1">
        <v>3</v>
      </c>
      <c r="B42" s="3" t="s">
        <v>4</v>
      </c>
      <c r="C42" s="1" t="s">
        <v>5</v>
      </c>
      <c r="D42" s="4" t="s">
        <v>6</v>
      </c>
      <c r="E42">
        <v>66</v>
      </c>
      <c r="F42" s="1">
        <v>53</v>
      </c>
      <c r="H42" s="1"/>
      <c r="J42" s="5"/>
    </row>
    <row r="43" spans="1:10" x14ac:dyDescent="0.35">
      <c r="A43" s="1">
        <v>5</v>
      </c>
      <c r="B43" s="3" t="s">
        <v>4</v>
      </c>
      <c r="C43" s="1" t="s">
        <v>5</v>
      </c>
      <c r="D43" s="4" t="s">
        <v>9</v>
      </c>
      <c r="E43">
        <v>159</v>
      </c>
      <c r="F43" s="1">
        <v>29</v>
      </c>
      <c r="H43" s="1"/>
      <c r="J43" s="5"/>
    </row>
    <row r="44" spans="1:10" x14ac:dyDescent="0.35">
      <c r="A44" s="1">
        <v>3</v>
      </c>
      <c r="B44" s="3" t="s">
        <v>4</v>
      </c>
      <c r="C44" s="1" t="s">
        <v>5</v>
      </c>
      <c r="D44" s="4" t="s">
        <v>7</v>
      </c>
      <c r="E44">
        <v>108</v>
      </c>
      <c r="F44" s="1">
        <v>42</v>
      </c>
      <c r="H44" s="1"/>
      <c r="J44" s="5"/>
    </row>
    <row r="45" spans="1:10" x14ac:dyDescent="0.35">
      <c r="A45" s="1">
        <v>1</v>
      </c>
      <c r="B45" s="3" t="s">
        <v>4</v>
      </c>
      <c r="C45" s="1" t="s">
        <v>8</v>
      </c>
      <c r="D45" s="4" t="s">
        <v>9</v>
      </c>
      <c r="E45">
        <v>54</v>
      </c>
      <c r="F45" s="1">
        <v>40</v>
      </c>
      <c r="H45" s="1"/>
      <c r="J45" s="5"/>
    </row>
    <row r="46" spans="1:10" x14ac:dyDescent="0.35">
      <c r="A46" s="1">
        <v>1</v>
      </c>
      <c r="B46" s="3" t="s">
        <v>4</v>
      </c>
      <c r="C46" s="1" t="s">
        <v>8</v>
      </c>
      <c r="D46" s="4" t="s">
        <v>6</v>
      </c>
      <c r="E46">
        <v>57</v>
      </c>
      <c r="F46" s="1">
        <v>40</v>
      </c>
      <c r="H46" s="1"/>
      <c r="J46" s="5"/>
    </row>
    <row r="47" spans="1:10" x14ac:dyDescent="0.35">
      <c r="A47" s="1">
        <v>3</v>
      </c>
      <c r="B47" s="3" t="s">
        <v>4</v>
      </c>
      <c r="C47" s="1" t="s">
        <v>5</v>
      </c>
      <c r="D47" s="4" t="s">
        <v>6</v>
      </c>
      <c r="E47">
        <v>54</v>
      </c>
      <c r="F47" s="1">
        <v>62</v>
      </c>
      <c r="H47" s="1"/>
      <c r="J47" s="5"/>
    </row>
    <row r="48" spans="1:10" x14ac:dyDescent="0.35">
      <c r="A48" s="1">
        <v>2</v>
      </c>
      <c r="B48" s="3" t="s">
        <v>4</v>
      </c>
      <c r="C48" s="1" t="s">
        <v>5</v>
      </c>
      <c r="D48" s="4" t="s">
        <v>9</v>
      </c>
      <c r="E48">
        <v>93</v>
      </c>
      <c r="F48" s="1">
        <v>44</v>
      </c>
      <c r="H48" s="1"/>
      <c r="J48" s="5"/>
    </row>
    <row r="49" spans="1:17" x14ac:dyDescent="0.35">
      <c r="A49" s="1">
        <v>3</v>
      </c>
      <c r="B49" s="3" t="s">
        <v>4</v>
      </c>
      <c r="C49" s="1" t="s">
        <v>8</v>
      </c>
      <c r="D49" s="4" t="s">
        <v>6</v>
      </c>
      <c r="E49">
        <v>159</v>
      </c>
      <c r="F49" s="1">
        <v>28</v>
      </c>
      <c r="H49" s="1"/>
      <c r="J49" s="5"/>
    </row>
    <row r="50" spans="1:17" x14ac:dyDescent="0.35">
      <c r="A50" s="1">
        <v>5</v>
      </c>
      <c r="B50" s="3" t="s">
        <v>4</v>
      </c>
      <c r="C50" s="1" t="s">
        <v>8</v>
      </c>
      <c r="D50" s="4" t="s">
        <v>6</v>
      </c>
      <c r="E50">
        <v>213</v>
      </c>
      <c r="F50" s="1">
        <v>40</v>
      </c>
      <c r="H50" s="1"/>
      <c r="J50" s="5"/>
    </row>
    <row r="51" spans="1:17" x14ac:dyDescent="0.35">
      <c r="A51" s="1">
        <v>3</v>
      </c>
      <c r="B51" s="3" t="s">
        <v>4</v>
      </c>
      <c r="C51" s="1" t="s">
        <v>5</v>
      </c>
      <c r="D51" s="4" t="s">
        <v>6</v>
      </c>
      <c r="E51">
        <v>81</v>
      </c>
      <c r="F51" s="1">
        <v>43</v>
      </c>
      <c r="H51" s="1"/>
      <c r="J51" s="5"/>
    </row>
    <row r="52" spans="1:17" x14ac:dyDescent="0.35">
      <c r="A52" s="1">
        <v>1</v>
      </c>
      <c r="B52" s="3" t="s">
        <v>4</v>
      </c>
      <c r="C52" s="1" t="s">
        <v>8</v>
      </c>
      <c r="D52" s="4" t="s">
        <v>6</v>
      </c>
      <c r="E52">
        <v>108</v>
      </c>
      <c r="F52" s="1">
        <v>24</v>
      </c>
      <c r="H52" s="1"/>
      <c r="J52" s="5"/>
    </row>
    <row r="53" spans="1:17" x14ac:dyDescent="0.35">
      <c r="A53" s="1">
        <v>1</v>
      </c>
      <c r="B53" s="3" t="s">
        <v>4</v>
      </c>
      <c r="C53" s="1" t="s">
        <v>8</v>
      </c>
      <c r="D53" s="4" t="s">
        <v>9</v>
      </c>
      <c r="E53">
        <v>54</v>
      </c>
      <c r="F53" s="1">
        <v>40</v>
      </c>
      <c r="H53" s="1"/>
      <c r="J53" s="5"/>
    </row>
    <row r="54" spans="1:17" x14ac:dyDescent="0.35">
      <c r="A54" s="1">
        <v>6</v>
      </c>
      <c r="B54" s="3" t="s">
        <v>4</v>
      </c>
      <c r="C54" s="1" t="s">
        <v>8</v>
      </c>
      <c r="D54" s="4" t="s">
        <v>7</v>
      </c>
      <c r="E54">
        <v>240</v>
      </c>
      <c r="F54" s="1">
        <v>27</v>
      </c>
      <c r="H54" s="1"/>
      <c r="J54" s="5"/>
    </row>
    <row r="55" spans="1:17" x14ac:dyDescent="0.35">
      <c r="A55" s="1">
        <v>3</v>
      </c>
      <c r="B55" s="3" t="s">
        <v>10</v>
      </c>
      <c r="C55" s="1" t="s">
        <v>8</v>
      </c>
      <c r="D55" s="4" t="s">
        <v>7</v>
      </c>
      <c r="E55">
        <v>132</v>
      </c>
      <c r="F55" s="1">
        <v>54</v>
      </c>
      <c r="H55" s="1"/>
      <c r="J55" s="5"/>
    </row>
    <row r="56" spans="1:17" x14ac:dyDescent="0.35">
      <c r="A56" s="1">
        <v>2</v>
      </c>
      <c r="B56" s="3" t="s">
        <v>4</v>
      </c>
      <c r="C56" s="1" t="s">
        <v>8</v>
      </c>
      <c r="D56" s="4" t="s">
        <v>9</v>
      </c>
      <c r="E56">
        <v>81</v>
      </c>
      <c r="F56" s="1">
        <v>47</v>
      </c>
      <c r="H56" t="s">
        <v>76</v>
      </c>
      <c r="J56" s="5"/>
      <c r="Q56" t="s">
        <v>77</v>
      </c>
    </row>
    <row r="57" spans="1:17" x14ac:dyDescent="0.35">
      <c r="A57" s="1">
        <v>2</v>
      </c>
      <c r="B57" s="3" t="s">
        <v>4</v>
      </c>
      <c r="C57" s="1" t="s">
        <v>8</v>
      </c>
      <c r="D57" s="4" t="s">
        <v>9</v>
      </c>
      <c r="E57">
        <v>81</v>
      </c>
      <c r="F57" s="1">
        <v>47</v>
      </c>
      <c r="H57" s="1"/>
      <c r="J57" s="5"/>
    </row>
    <row r="58" spans="1:17" x14ac:dyDescent="0.35">
      <c r="A58" s="1">
        <v>3</v>
      </c>
      <c r="B58" s="3" t="s">
        <v>4</v>
      </c>
      <c r="C58" s="1" t="s">
        <v>5</v>
      </c>
      <c r="D58" s="4" t="s">
        <v>6</v>
      </c>
      <c r="E58">
        <v>81</v>
      </c>
      <c r="F58" s="1">
        <v>43</v>
      </c>
      <c r="H58" s="1"/>
      <c r="I58" s="132" t="s">
        <v>78</v>
      </c>
      <c r="J58" s="133"/>
      <c r="K58" s="133"/>
      <c r="L58" s="134"/>
    </row>
    <row r="59" spans="1:17" x14ac:dyDescent="0.35">
      <c r="A59" s="1">
        <v>3</v>
      </c>
      <c r="B59" s="3" t="s">
        <v>4</v>
      </c>
      <c r="C59" s="1" t="s">
        <v>5</v>
      </c>
      <c r="D59" s="4" t="s">
        <v>7</v>
      </c>
      <c r="E59">
        <v>108</v>
      </c>
      <c r="F59" s="1">
        <v>52</v>
      </c>
      <c r="H59" s="1"/>
      <c r="I59" s="74" t="s">
        <v>72</v>
      </c>
      <c r="J59" s="73">
        <v>1</v>
      </c>
      <c r="K59" s="70">
        <f>CORREL($A$2:$A$201,$F$2:$F$201)</f>
        <v>7.7180675525788875E-2</v>
      </c>
      <c r="L59" s="71">
        <f>CORREL($A$2:$A$201,$E$2:$E$201)</f>
        <v>0.83527371964906394</v>
      </c>
    </row>
    <row r="60" spans="1:17" x14ac:dyDescent="0.35">
      <c r="A60" s="1">
        <v>3</v>
      </c>
      <c r="B60" s="3" t="s">
        <v>10</v>
      </c>
      <c r="C60" s="1" t="s">
        <v>5</v>
      </c>
      <c r="D60" s="4" t="s">
        <v>6</v>
      </c>
      <c r="E60">
        <v>132</v>
      </c>
      <c r="F60" s="1">
        <v>30</v>
      </c>
      <c r="H60" s="1"/>
      <c r="I60" s="75" t="s">
        <v>3</v>
      </c>
      <c r="J60" s="66">
        <f>CORREL($A$2:$A$201,$F$2:$F$201)</f>
        <v>7.7180675525788875E-2</v>
      </c>
      <c r="K60" s="69">
        <v>1</v>
      </c>
      <c r="L60" s="67">
        <f>CORREL($E$2:$E$201,$F$2:$F$201)</f>
        <v>-3.1603056479293685E-2</v>
      </c>
    </row>
    <row r="61" spans="1:17" x14ac:dyDescent="0.35">
      <c r="A61" s="1">
        <v>1</v>
      </c>
      <c r="B61" s="3" t="s">
        <v>4</v>
      </c>
      <c r="C61" s="1" t="s">
        <v>8</v>
      </c>
      <c r="D61" s="4" t="s">
        <v>9</v>
      </c>
      <c r="E61">
        <v>54</v>
      </c>
      <c r="F61" s="1">
        <v>25</v>
      </c>
      <c r="H61" s="1"/>
      <c r="I61" s="76" t="s">
        <v>71</v>
      </c>
      <c r="J61" s="72">
        <f>CORREL($A$2:$A$201,$E$2:$E$201)</f>
        <v>0.83527371964906394</v>
      </c>
      <c r="K61" s="72">
        <f>CORREL($E$2:$E$201,$F$2:$F$201)</f>
        <v>-3.1603056479293685E-2</v>
      </c>
      <c r="L61" s="68">
        <v>1</v>
      </c>
    </row>
    <row r="62" spans="1:17" x14ac:dyDescent="0.35">
      <c r="A62" s="1">
        <v>10</v>
      </c>
      <c r="B62" s="3" t="s">
        <v>4</v>
      </c>
      <c r="C62" s="1" t="s">
        <v>5</v>
      </c>
      <c r="D62" s="4" t="s">
        <v>6</v>
      </c>
      <c r="E62">
        <v>240</v>
      </c>
      <c r="F62" s="1">
        <v>35</v>
      </c>
      <c r="H62" s="1"/>
      <c r="I62" s="77"/>
      <c r="J62" s="74" t="s">
        <v>72</v>
      </c>
      <c r="K62" s="75" t="s">
        <v>3</v>
      </c>
      <c r="L62" s="76" t="s">
        <v>71</v>
      </c>
      <c r="P62" t="s">
        <v>84</v>
      </c>
    </row>
    <row r="63" spans="1:17" x14ac:dyDescent="0.35">
      <c r="A63" s="1">
        <v>4</v>
      </c>
      <c r="B63" s="3" t="s">
        <v>4</v>
      </c>
      <c r="C63" s="1" t="s">
        <v>5</v>
      </c>
      <c r="D63" s="4" t="s">
        <v>9</v>
      </c>
      <c r="E63">
        <v>108</v>
      </c>
      <c r="F63" s="1">
        <v>45</v>
      </c>
      <c r="H63" t="s">
        <v>83</v>
      </c>
      <c r="I63" s="65">
        <f>J60</f>
        <v>7.7180675525788875E-2</v>
      </c>
      <c r="J63" s="1" t="s">
        <v>73</v>
      </c>
      <c r="P63" t="s">
        <v>85</v>
      </c>
      <c r="Q63">
        <f>I63*I63</f>
        <v>5.9568566746171061E-3</v>
      </c>
    </row>
    <row r="64" spans="1:17" x14ac:dyDescent="0.35">
      <c r="A64" s="1">
        <v>3</v>
      </c>
      <c r="B64" s="3" t="s">
        <v>4</v>
      </c>
      <c r="C64" s="1" t="s">
        <v>5</v>
      </c>
      <c r="D64" s="4" t="s">
        <v>6</v>
      </c>
      <c r="E64">
        <v>60</v>
      </c>
      <c r="F64" s="1">
        <v>58</v>
      </c>
      <c r="H64" t="s">
        <v>83</v>
      </c>
      <c r="I64" s="65">
        <f>L59</f>
        <v>0.83527371964906394</v>
      </c>
      <c r="J64" s="1" t="s">
        <v>74</v>
      </c>
      <c r="P64" t="s">
        <v>85</v>
      </c>
      <c r="Q64">
        <f t="shared" ref="Q64:Q65" si="5">I64*I64</f>
        <v>0.69768218673638305</v>
      </c>
    </row>
    <row r="65" spans="1:17" x14ac:dyDescent="0.35">
      <c r="A65" s="1">
        <v>5</v>
      </c>
      <c r="B65" s="3" t="s">
        <v>4</v>
      </c>
      <c r="C65" s="1" t="s">
        <v>5</v>
      </c>
      <c r="D65" s="4" t="s">
        <v>9</v>
      </c>
      <c r="E65">
        <v>93</v>
      </c>
      <c r="F65" s="1">
        <v>44</v>
      </c>
      <c r="H65" t="s">
        <v>83</v>
      </c>
      <c r="I65" s="65">
        <f>L60</f>
        <v>-3.1603056479293685E-2</v>
      </c>
      <c r="J65" s="1" t="s">
        <v>75</v>
      </c>
      <c r="P65" t="s">
        <v>85</v>
      </c>
      <c r="Q65">
        <f t="shared" si="5"/>
        <v>9.9875317883342659E-4</v>
      </c>
    </row>
    <row r="66" spans="1:17" x14ac:dyDescent="0.35">
      <c r="A66" s="1">
        <v>3</v>
      </c>
      <c r="B66" s="3" t="s">
        <v>4</v>
      </c>
      <c r="C66" s="1" t="s">
        <v>8</v>
      </c>
      <c r="D66" s="4" t="s">
        <v>6</v>
      </c>
      <c r="E66">
        <v>132</v>
      </c>
      <c r="F66" s="1">
        <v>48</v>
      </c>
      <c r="H66" s="122"/>
      <c r="I66" s="123"/>
      <c r="J66" s="118" t="s">
        <v>83</v>
      </c>
      <c r="K66" s="118" t="s">
        <v>85</v>
      </c>
      <c r="L66" s="118" t="s">
        <v>86</v>
      </c>
      <c r="M66" s="118" t="s">
        <v>82</v>
      </c>
      <c r="N66" s="118" t="s">
        <v>165</v>
      </c>
    </row>
    <row r="67" spans="1:17" x14ac:dyDescent="0.35">
      <c r="A67" s="1">
        <v>10</v>
      </c>
      <c r="B67" s="3" t="s">
        <v>4</v>
      </c>
      <c r="C67" s="1" t="s">
        <v>5</v>
      </c>
      <c r="D67" s="4" t="s">
        <v>6</v>
      </c>
      <c r="E67">
        <v>240</v>
      </c>
      <c r="F67" s="1">
        <v>35</v>
      </c>
      <c r="H67" s="122" t="s">
        <v>162</v>
      </c>
      <c r="I67" s="123"/>
      <c r="J67" s="120">
        <v>7.7180675525788875E-2</v>
      </c>
      <c r="K67" s="118">
        <v>5.9568566746171061E-3</v>
      </c>
      <c r="L67" s="120">
        <v>1.0892775516007622</v>
      </c>
      <c r="M67" s="120">
        <v>0.27735548684041811</v>
      </c>
      <c r="N67" s="120" t="str">
        <f xml:space="preserve"> IF( L67 &gt;$O$75, "значим", "не значим" )</f>
        <v>не значим</v>
      </c>
    </row>
    <row r="68" spans="1:17" x14ac:dyDescent="0.35">
      <c r="A68" s="1">
        <v>2</v>
      </c>
      <c r="B68" s="3" t="s">
        <v>4</v>
      </c>
      <c r="C68" s="1" t="s">
        <v>5</v>
      </c>
      <c r="D68" s="4" t="s">
        <v>6</v>
      </c>
      <c r="E68">
        <v>108</v>
      </c>
      <c r="F68" s="1">
        <v>42</v>
      </c>
      <c r="H68" s="122" t="s">
        <v>163</v>
      </c>
      <c r="I68" s="123"/>
      <c r="J68" s="120">
        <v>0.83527371964906394</v>
      </c>
      <c r="K68" s="118">
        <v>0.69768218673638305</v>
      </c>
      <c r="L68" s="118">
        <v>21.376152725295086</v>
      </c>
      <c r="M68" s="120">
        <v>0.65686596831354693</v>
      </c>
      <c r="N68" s="120" t="str">
        <f t="shared" ref="N68:N69" si="6" xml:space="preserve"> IF( L68 &gt;$O$75, "значим", "не значим" )</f>
        <v>значим</v>
      </c>
    </row>
    <row r="69" spans="1:17" x14ac:dyDescent="0.35">
      <c r="A69" s="1">
        <v>4</v>
      </c>
      <c r="B69" s="3" t="s">
        <v>4</v>
      </c>
      <c r="C69" s="1" t="s">
        <v>5</v>
      </c>
      <c r="D69" s="4" t="s">
        <v>7</v>
      </c>
      <c r="E69">
        <v>132</v>
      </c>
      <c r="F69" s="1">
        <v>62</v>
      </c>
      <c r="H69" s="121" t="s">
        <v>164</v>
      </c>
      <c r="I69" s="119"/>
      <c r="J69" s="120">
        <v>-3.1603056479293685E-2</v>
      </c>
      <c r="K69" s="118">
        <v>9.9875317883342659E-4</v>
      </c>
      <c r="L69" s="120">
        <v>0.44491665897464722</v>
      </c>
      <c r="M69" s="124">
        <v>2.4900287762476224E-53</v>
      </c>
      <c r="N69" s="124" t="str">
        <f t="shared" si="6"/>
        <v>не значим</v>
      </c>
    </row>
    <row r="70" spans="1:17" x14ac:dyDescent="0.35">
      <c r="A70" s="1">
        <v>6</v>
      </c>
      <c r="B70" s="3" t="s">
        <v>4</v>
      </c>
      <c r="C70" s="1" t="s">
        <v>5</v>
      </c>
      <c r="D70" s="4" t="s">
        <v>6</v>
      </c>
      <c r="E70">
        <v>159</v>
      </c>
      <c r="F70" s="1">
        <v>60</v>
      </c>
    </row>
    <row r="71" spans="1:17" x14ac:dyDescent="0.35">
      <c r="A71" s="1">
        <v>5</v>
      </c>
      <c r="B71" s="3" t="s">
        <v>10</v>
      </c>
      <c r="C71" s="1" t="s">
        <v>5</v>
      </c>
      <c r="D71" s="4" t="s">
        <v>7</v>
      </c>
      <c r="E71">
        <v>174</v>
      </c>
      <c r="F71" s="1">
        <v>32</v>
      </c>
    </row>
    <row r="72" spans="1:17" x14ac:dyDescent="0.35">
      <c r="A72" s="1">
        <v>1</v>
      </c>
      <c r="B72" s="3" t="s">
        <v>10</v>
      </c>
      <c r="C72" s="1" t="s">
        <v>5</v>
      </c>
      <c r="D72" s="4" t="s">
        <v>9</v>
      </c>
      <c r="E72">
        <v>108</v>
      </c>
      <c r="F72" s="1">
        <v>26</v>
      </c>
      <c r="H72" s="78" t="s">
        <v>86</v>
      </c>
      <c r="I72" s="79">
        <f xml:space="preserve"> SQRT( (J60^2 * (200 - 2)) / (1 - J60^2) )</f>
        <v>1.0892775516007622</v>
      </c>
      <c r="J72" s="80" t="s">
        <v>79</v>
      </c>
      <c r="K72" s="81"/>
      <c r="L72" s="78" t="s">
        <v>82</v>
      </c>
      <c r="M72" s="89">
        <f xml:space="preserve"> _xlfn.T.DIST.2T(ABS(I72), 198)</f>
        <v>0.27735548684041811</v>
      </c>
      <c r="N72" s="84" t="str">
        <f xml:space="preserve"> IF( I72 &gt;$O$75, "значим", "не значим" )</f>
        <v>не значим</v>
      </c>
    </row>
    <row r="73" spans="1:17" x14ac:dyDescent="0.35">
      <c r="A73" s="1">
        <v>13</v>
      </c>
      <c r="B73" s="3" t="s">
        <v>4</v>
      </c>
      <c r="C73" s="1" t="s">
        <v>5</v>
      </c>
      <c r="D73" s="4" t="s">
        <v>6</v>
      </c>
      <c r="E73">
        <v>321</v>
      </c>
      <c r="F73" s="1">
        <v>35</v>
      </c>
      <c r="H73" s="82" t="s">
        <v>86</v>
      </c>
      <c r="I73" s="65">
        <f xml:space="preserve"> SQRT( (J61^2 * (200 - 2)) / (1 - J61^2) )</f>
        <v>21.376152725295086</v>
      </c>
      <c r="J73" s="1" t="s">
        <v>81</v>
      </c>
      <c r="K73" s="83"/>
      <c r="L73" s="85" t="s">
        <v>82</v>
      </c>
      <c r="M73" s="91">
        <f xml:space="preserve"> _xlfn.T.DIST.2T(ABS(I73), 198)</f>
        <v>2.4900287762476224E-53</v>
      </c>
      <c r="N73" s="84" t="str">
        <f xml:space="preserve"> IF( I73 &gt;$O$75, "значим", "не значим" )</f>
        <v>значим</v>
      </c>
    </row>
    <row r="74" spans="1:17" x14ac:dyDescent="0.35">
      <c r="A74" s="1">
        <v>5</v>
      </c>
      <c r="B74" s="3" t="s">
        <v>4</v>
      </c>
      <c r="C74" s="1" t="s">
        <v>8</v>
      </c>
      <c r="D74" s="4" t="s">
        <v>9</v>
      </c>
      <c r="E74">
        <v>186</v>
      </c>
      <c r="F74" s="1">
        <v>53</v>
      </c>
      <c r="H74" s="82" t="s">
        <v>86</v>
      </c>
      <c r="I74" s="65">
        <f xml:space="preserve"> SQRT( (K61^2 * (200 - 2)) / (1 - K61^2) )</f>
        <v>0.44491665897464722</v>
      </c>
      <c r="J74" s="1" t="s">
        <v>80</v>
      </c>
      <c r="K74" s="83"/>
      <c r="L74" s="86" t="s">
        <v>82</v>
      </c>
      <c r="M74" s="90">
        <f xml:space="preserve"> _xlfn.T.DIST.2T(ABS(I74), 198)</f>
        <v>0.65686596831354693</v>
      </c>
      <c r="N74" s="84" t="str">
        <f xml:space="preserve"> IF( I74 &gt;$O$75, "значим", "не значим" )</f>
        <v>не значим</v>
      </c>
    </row>
    <row r="75" spans="1:17" x14ac:dyDescent="0.35">
      <c r="A75" s="1">
        <v>2</v>
      </c>
      <c r="B75" s="3" t="s">
        <v>4</v>
      </c>
      <c r="C75" s="1" t="s">
        <v>5</v>
      </c>
      <c r="D75" s="4" t="s">
        <v>9</v>
      </c>
      <c r="E75">
        <v>93</v>
      </c>
      <c r="F75" s="1">
        <v>44</v>
      </c>
      <c r="H75" s="80"/>
      <c r="I75" s="87" t="s">
        <v>90</v>
      </c>
      <c r="J75" s="88"/>
      <c r="K75" s="81"/>
      <c r="L75" s="87"/>
      <c r="N75" t="s">
        <v>89</v>
      </c>
      <c r="O75">
        <f>TINV(0.05, 198)</f>
        <v>1.9720174778363073</v>
      </c>
    </row>
    <row r="76" spans="1:17" x14ac:dyDescent="0.35">
      <c r="A76" s="1">
        <v>4</v>
      </c>
      <c r="B76" s="3" t="s">
        <v>10</v>
      </c>
      <c r="C76" s="1" t="s">
        <v>5</v>
      </c>
      <c r="D76" s="4" t="s">
        <v>7</v>
      </c>
      <c r="E76">
        <v>186</v>
      </c>
      <c r="F76" s="1">
        <v>23</v>
      </c>
      <c r="H76" s="1" t="s">
        <v>88</v>
      </c>
      <c r="I76" s="65">
        <f xml:space="preserve"> TINV(0.05, 198)</f>
        <v>1.9720174778363073</v>
      </c>
      <c r="J76" s="5"/>
    </row>
    <row r="77" spans="1:17" x14ac:dyDescent="0.35">
      <c r="A77" s="1">
        <v>1</v>
      </c>
      <c r="B77" s="3" t="s">
        <v>4</v>
      </c>
      <c r="C77" s="1" t="s">
        <v>8</v>
      </c>
      <c r="D77" s="4" t="s">
        <v>6</v>
      </c>
      <c r="E77">
        <v>108</v>
      </c>
      <c r="F77" s="1">
        <v>24</v>
      </c>
      <c r="H77" s="1"/>
      <c r="I77" t="s">
        <v>87</v>
      </c>
      <c r="J77" s="5"/>
    </row>
    <row r="78" spans="1:17" x14ac:dyDescent="0.35">
      <c r="A78" s="1">
        <v>3</v>
      </c>
      <c r="B78" s="3" t="s">
        <v>4</v>
      </c>
      <c r="C78" s="1" t="s">
        <v>5</v>
      </c>
      <c r="D78" s="4" t="s">
        <v>6</v>
      </c>
      <c r="E78">
        <v>81</v>
      </c>
      <c r="F78" s="1">
        <v>36</v>
      </c>
      <c r="H78" s="1"/>
      <c r="I78" t="s">
        <v>91</v>
      </c>
      <c r="J78" s="5"/>
    </row>
    <row r="79" spans="1:17" x14ac:dyDescent="0.35">
      <c r="A79" s="1">
        <v>5</v>
      </c>
      <c r="B79" s="3" t="s">
        <v>4</v>
      </c>
      <c r="C79" s="1" t="s">
        <v>5</v>
      </c>
      <c r="D79" s="4" t="s">
        <v>6</v>
      </c>
      <c r="E79">
        <v>201</v>
      </c>
      <c r="F79" s="1">
        <v>31</v>
      </c>
    </row>
    <row r="80" spans="1:17" x14ac:dyDescent="0.35">
      <c r="A80" s="1">
        <v>5</v>
      </c>
      <c r="B80" s="3" t="s">
        <v>10</v>
      </c>
      <c r="C80" s="1" t="s">
        <v>8</v>
      </c>
      <c r="D80" s="4" t="s">
        <v>7</v>
      </c>
      <c r="E80">
        <v>159</v>
      </c>
      <c r="F80" s="1">
        <v>47</v>
      </c>
    </row>
    <row r="81" spans="1:10" x14ac:dyDescent="0.35">
      <c r="A81" s="1">
        <v>7</v>
      </c>
      <c r="B81" s="3" t="s">
        <v>4</v>
      </c>
      <c r="C81" s="1" t="s">
        <v>8</v>
      </c>
      <c r="D81" s="4" t="s">
        <v>6</v>
      </c>
      <c r="E81">
        <v>240</v>
      </c>
      <c r="F81" s="1">
        <v>27</v>
      </c>
    </row>
    <row r="82" spans="1:10" x14ac:dyDescent="0.35">
      <c r="A82" s="1">
        <v>1</v>
      </c>
      <c r="B82" s="3" t="s">
        <v>10</v>
      </c>
      <c r="C82" s="1" t="s">
        <v>5</v>
      </c>
      <c r="D82" s="4" t="s">
        <v>7</v>
      </c>
      <c r="E82">
        <v>66</v>
      </c>
      <c r="F82" s="1">
        <v>35</v>
      </c>
    </row>
    <row r="83" spans="1:10" x14ac:dyDescent="0.35">
      <c r="A83" s="1">
        <v>1</v>
      </c>
      <c r="B83" s="3" t="s">
        <v>4</v>
      </c>
      <c r="C83" s="1" t="s">
        <v>8</v>
      </c>
      <c r="D83" s="4" t="s">
        <v>9</v>
      </c>
      <c r="E83">
        <v>54</v>
      </c>
      <c r="F83" s="1">
        <v>25</v>
      </c>
    </row>
    <row r="84" spans="1:10" x14ac:dyDescent="0.35">
      <c r="A84" s="1">
        <v>3</v>
      </c>
      <c r="B84" s="3" t="s">
        <v>4</v>
      </c>
      <c r="C84" s="1" t="s">
        <v>5</v>
      </c>
      <c r="D84" s="4" t="s">
        <v>6</v>
      </c>
      <c r="E84">
        <v>99</v>
      </c>
      <c r="F84" s="1">
        <v>41</v>
      </c>
      <c r="H84" s="1"/>
      <c r="J84" s="5"/>
    </row>
    <row r="85" spans="1:10" x14ac:dyDescent="0.35">
      <c r="A85" s="1">
        <v>1</v>
      </c>
      <c r="B85" s="3" t="s">
        <v>10</v>
      </c>
      <c r="C85" s="1" t="s">
        <v>8</v>
      </c>
      <c r="D85" s="4" t="s">
        <v>7</v>
      </c>
      <c r="E85">
        <v>81</v>
      </c>
      <c r="F85" s="1">
        <v>47</v>
      </c>
      <c r="H85" s="1"/>
      <c r="J85" s="5"/>
    </row>
    <row r="86" spans="1:10" x14ac:dyDescent="0.35">
      <c r="A86" s="1">
        <v>1</v>
      </c>
      <c r="B86" s="3" t="s">
        <v>10</v>
      </c>
      <c r="C86" s="1" t="s">
        <v>5</v>
      </c>
      <c r="D86" s="4" t="s">
        <v>6</v>
      </c>
      <c r="E86">
        <v>54</v>
      </c>
      <c r="F86" s="1">
        <v>41</v>
      </c>
      <c r="H86" s="1"/>
      <c r="J86" s="5"/>
    </row>
    <row r="87" spans="1:10" x14ac:dyDescent="0.35">
      <c r="A87" s="1">
        <v>3</v>
      </c>
      <c r="B87" s="3" t="s">
        <v>10</v>
      </c>
      <c r="C87" s="1" t="s">
        <v>8</v>
      </c>
      <c r="D87" s="4" t="s">
        <v>9</v>
      </c>
      <c r="E87">
        <v>39</v>
      </c>
      <c r="F87" s="1">
        <v>39</v>
      </c>
      <c r="H87" s="1"/>
      <c r="J87" s="5"/>
    </row>
    <row r="88" spans="1:10" x14ac:dyDescent="0.35">
      <c r="A88" s="1">
        <v>3</v>
      </c>
      <c r="B88" s="3" t="s">
        <v>4</v>
      </c>
      <c r="C88" s="1" t="s">
        <v>5</v>
      </c>
      <c r="D88" s="4" t="s">
        <v>7</v>
      </c>
      <c r="E88">
        <v>120</v>
      </c>
      <c r="F88" s="1">
        <v>35</v>
      </c>
      <c r="H88" s="1"/>
      <c r="J88" s="5"/>
    </row>
    <row r="89" spans="1:10" x14ac:dyDescent="0.35">
      <c r="A89" s="1">
        <v>1</v>
      </c>
      <c r="B89" s="3" t="s">
        <v>10</v>
      </c>
      <c r="C89" s="1" t="s">
        <v>8</v>
      </c>
      <c r="D89" s="4" t="s">
        <v>7</v>
      </c>
      <c r="E89">
        <v>81</v>
      </c>
      <c r="F89" s="1">
        <v>47</v>
      </c>
      <c r="H89" s="1"/>
      <c r="J89" s="5"/>
    </row>
    <row r="90" spans="1:10" x14ac:dyDescent="0.35">
      <c r="A90" s="1">
        <v>3</v>
      </c>
      <c r="B90" s="3" t="s">
        <v>4</v>
      </c>
      <c r="C90" s="1" t="s">
        <v>8</v>
      </c>
      <c r="D90" s="4" t="s">
        <v>6</v>
      </c>
      <c r="E90">
        <v>66</v>
      </c>
      <c r="F90" s="1">
        <v>34</v>
      </c>
      <c r="H90" s="1"/>
      <c r="J90" s="5"/>
    </row>
    <row r="91" spans="1:10" x14ac:dyDescent="0.35">
      <c r="A91" s="1">
        <v>1</v>
      </c>
      <c r="B91" s="3" t="s">
        <v>10</v>
      </c>
      <c r="C91" s="1" t="s">
        <v>5</v>
      </c>
      <c r="D91" s="4" t="s">
        <v>7</v>
      </c>
      <c r="E91">
        <v>54</v>
      </c>
      <c r="F91" s="1">
        <v>33</v>
      </c>
      <c r="H91" s="1"/>
      <c r="J91" s="5"/>
    </row>
    <row r="92" spans="1:10" x14ac:dyDescent="0.35">
      <c r="A92" s="1">
        <v>3</v>
      </c>
      <c r="B92" s="3" t="s">
        <v>10</v>
      </c>
      <c r="C92" s="1" t="s">
        <v>8</v>
      </c>
      <c r="D92" s="4" t="s">
        <v>9</v>
      </c>
      <c r="E92">
        <v>39</v>
      </c>
      <c r="F92" s="1">
        <v>39</v>
      </c>
      <c r="H92" s="1"/>
      <c r="J92" s="5"/>
    </row>
    <row r="93" spans="1:10" x14ac:dyDescent="0.35">
      <c r="A93" s="1">
        <v>3</v>
      </c>
      <c r="B93" s="3" t="s">
        <v>4</v>
      </c>
      <c r="C93" s="1" t="s">
        <v>8</v>
      </c>
      <c r="D93" s="4" t="s">
        <v>6</v>
      </c>
      <c r="E93">
        <v>132</v>
      </c>
      <c r="F93" s="1">
        <v>48</v>
      </c>
      <c r="H93" s="1"/>
      <c r="J93" s="5"/>
    </row>
    <row r="94" spans="1:10" x14ac:dyDescent="0.35">
      <c r="A94" s="1">
        <v>1</v>
      </c>
      <c r="B94" s="3" t="s">
        <v>10</v>
      </c>
      <c r="C94" s="1" t="s">
        <v>5</v>
      </c>
      <c r="D94" s="4" t="s">
        <v>7</v>
      </c>
      <c r="E94">
        <v>54</v>
      </c>
      <c r="F94" s="1">
        <v>33</v>
      </c>
      <c r="H94" s="1"/>
      <c r="J94" s="5"/>
    </row>
    <row r="95" spans="1:10" x14ac:dyDescent="0.35">
      <c r="A95" s="1">
        <v>7</v>
      </c>
      <c r="B95" s="3" t="s">
        <v>4</v>
      </c>
      <c r="C95" s="1" t="s">
        <v>8</v>
      </c>
      <c r="D95" s="4" t="s">
        <v>6</v>
      </c>
      <c r="E95">
        <v>240</v>
      </c>
      <c r="F95" s="1">
        <v>27</v>
      </c>
      <c r="H95" s="1"/>
      <c r="J95" s="5"/>
    </row>
    <row r="96" spans="1:10" x14ac:dyDescent="0.35">
      <c r="A96" s="1">
        <v>9</v>
      </c>
      <c r="B96" s="3" t="s">
        <v>4</v>
      </c>
      <c r="C96" s="1" t="s">
        <v>5</v>
      </c>
      <c r="D96" s="4" t="s">
        <v>9</v>
      </c>
      <c r="E96">
        <v>180</v>
      </c>
      <c r="F96" s="1">
        <v>64</v>
      </c>
      <c r="H96" s="1"/>
      <c r="J96" s="5"/>
    </row>
    <row r="97" spans="1:10" x14ac:dyDescent="0.35">
      <c r="A97" s="1">
        <v>1</v>
      </c>
      <c r="B97" s="3" t="s">
        <v>4</v>
      </c>
      <c r="C97" s="1" t="s">
        <v>8</v>
      </c>
      <c r="D97" s="4" t="s">
        <v>7</v>
      </c>
      <c r="E97">
        <v>132</v>
      </c>
      <c r="F97" s="1">
        <v>42</v>
      </c>
      <c r="H97" s="1"/>
      <c r="J97" s="5"/>
    </row>
    <row r="98" spans="1:10" x14ac:dyDescent="0.35">
      <c r="A98" s="1">
        <v>3</v>
      </c>
      <c r="B98" s="3" t="s">
        <v>4</v>
      </c>
      <c r="C98" s="1" t="s">
        <v>5</v>
      </c>
      <c r="D98" s="4" t="s">
        <v>9</v>
      </c>
      <c r="E98">
        <v>108</v>
      </c>
      <c r="F98" s="1">
        <v>24</v>
      </c>
      <c r="H98" s="1"/>
      <c r="J98" s="5"/>
    </row>
    <row r="99" spans="1:10" x14ac:dyDescent="0.35">
      <c r="A99" s="1">
        <v>3</v>
      </c>
      <c r="B99" s="3" t="s">
        <v>4</v>
      </c>
      <c r="C99" s="1" t="s">
        <v>5</v>
      </c>
      <c r="D99" s="4" t="s">
        <v>6</v>
      </c>
      <c r="E99">
        <v>60</v>
      </c>
      <c r="F99" s="1">
        <v>58</v>
      </c>
      <c r="H99" s="1"/>
      <c r="J99" s="5"/>
    </row>
    <row r="100" spans="1:10" x14ac:dyDescent="0.35">
      <c r="A100" s="1">
        <v>1</v>
      </c>
      <c r="B100" s="3" t="s">
        <v>10</v>
      </c>
      <c r="C100" s="1" t="s">
        <v>5</v>
      </c>
      <c r="D100" s="4" t="s">
        <v>7</v>
      </c>
      <c r="E100">
        <v>54</v>
      </c>
      <c r="F100" s="1">
        <v>60</v>
      </c>
      <c r="H100" s="1"/>
      <c r="J100" s="5"/>
    </row>
    <row r="101" spans="1:10" x14ac:dyDescent="0.35">
      <c r="A101" s="1">
        <v>1</v>
      </c>
      <c r="B101" s="3" t="s">
        <v>4</v>
      </c>
      <c r="C101" s="1" t="s">
        <v>5</v>
      </c>
      <c r="D101" s="4" t="s">
        <v>6</v>
      </c>
      <c r="E101">
        <v>39</v>
      </c>
      <c r="F101" s="1">
        <v>35</v>
      </c>
      <c r="H101" s="1"/>
      <c r="J101" s="5"/>
    </row>
    <row r="102" spans="1:10" x14ac:dyDescent="0.35">
      <c r="A102" s="1">
        <v>2</v>
      </c>
      <c r="B102" s="3" t="s">
        <v>10</v>
      </c>
      <c r="C102" s="1" t="s">
        <v>5</v>
      </c>
      <c r="D102" s="4" t="s">
        <v>9</v>
      </c>
      <c r="E102">
        <v>66</v>
      </c>
      <c r="F102" s="1">
        <v>51</v>
      </c>
      <c r="H102" s="1"/>
      <c r="J102" s="5"/>
    </row>
    <row r="103" spans="1:10" x14ac:dyDescent="0.35">
      <c r="A103" s="1">
        <v>8</v>
      </c>
      <c r="B103" s="3" t="s">
        <v>4</v>
      </c>
      <c r="C103" s="1" t="s">
        <v>8</v>
      </c>
      <c r="D103" s="4" t="s">
        <v>9</v>
      </c>
      <c r="E103">
        <v>267</v>
      </c>
      <c r="F103" s="1">
        <v>70</v>
      </c>
      <c r="H103" s="1"/>
      <c r="J103" s="5"/>
    </row>
    <row r="104" spans="1:10" x14ac:dyDescent="0.35">
      <c r="A104" s="1">
        <v>2</v>
      </c>
      <c r="B104" s="3" t="s">
        <v>10</v>
      </c>
      <c r="C104" s="1" t="s">
        <v>8</v>
      </c>
      <c r="D104" s="4" t="s">
        <v>6</v>
      </c>
      <c r="E104">
        <v>66</v>
      </c>
      <c r="F104" s="1">
        <v>30</v>
      </c>
      <c r="H104" s="1"/>
      <c r="J104" s="5"/>
    </row>
    <row r="105" spans="1:10" x14ac:dyDescent="0.35">
      <c r="A105" s="1">
        <v>3</v>
      </c>
      <c r="B105" s="3" t="s">
        <v>10</v>
      </c>
      <c r="C105" s="1" t="s">
        <v>8</v>
      </c>
      <c r="D105" s="4" t="s">
        <v>6</v>
      </c>
      <c r="E105">
        <v>108</v>
      </c>
      <c r="F105" s="1">
        <v>43</v>
      </c>
      <c r="H105" s="1"/>
      <c r="J105" s="5"/>
    </row>
    <row r="106" spans="1:10" x14ac:dyDescent="0.35">
      <c r="A106" s="1">
        <v>4</v>
      </c>
      <c r="B106" s="3" t="s">
        <v>10</v>
      </c>
      <c r="C106" s="1" t="s">
        <v>8</v>
      </c>
      <c r="D106" s="4" t="s">
        <v>7</v>
      </c>
      <c r="E106">
        <v>174</v>
      </c>
      <c r="F106" s="1">
        <v>47</v>
      </c>
      <c r="H106" s="1"/>
      <c r="J106" s="5"/>
    </row>
    <row r="107" spans="1:10" x14ac:dyDescent="0.35">
      <c r="A107" s="1">
        <v>3</v>
      </c>
      <c r="B107" s="3" t="s">
        <v>4</v>
      </c>
      <c r="C107" s="1" t="s">
        <v>5</v>
      </c>
      <c r="D107" s="4" t="s">
        <v>6</v>
      </c>
      <c r="E107">
        <v>108</v>
      </c>
      <c r="F107" s="1">
        <v>30</v>
      </c>
      <c r="H107" s="1"/>
      <c r="J107" s="5"/>
    </row>
    <row r="108" spans="1:10" x14ac:dyDescent="0.35">
      <c r="A108" s="1">
        <v>3</v>
      </c>
      <c r="B108" s="3" t="s">
        <v>4</v>
      </c>
      <c r="C108" s="1" t="s">
        <v>5</v>
      </c>
      <c r="D108" s="4" t="s">
        <v>7</v>
      </c>
      <c r="E108">
        <v>186</v>
      </c>
      <c r="F108" s="1">
        <v>28</v>
      </c>
      <c r="H108" s="1"/>
      <c r="J108" s="5"/>
    </row>
    <row r="109" spans="1:10" x14ac:dyDescent="0.35">
      <c r="A109" s="1">
        <v>6</v>
      </c>
      <c r="B109" s="3" t="s">
        <v>4</v>
      </c>
      <c r="C109" s="1" t="s">
        <v>5</v>
      </c>
      <c r="D109" s="4" t="s">
        <v>6</v>
      </c>
      <c r="E109">
        <v>186</v>
      </c>
      <c r="F109" s="1">
        <v>37</v>
      </c>
      <c r="H109" s="1"/>
      <c r="J109" s="5"/>
    </row>
    <row r="110" spans="1:10" x14ac:dyDescent="0.35">
      <c r="A110" s="1">
        <v>5</v>
      </c>
      <c r="B110" s="3" t="s">
        <v>10</v>
      </c>
      <c r="C110" s="1" t="s">
        <v>5</v>
      </c>
      <c r="D110" s="4" t="s">
        <v>7</v>
      </c>
      <c r="E110">
        <v>174</v>
      </c>
      <c r="F110" s="1">
        <v>32</v>
      </c>
      <c r="H110" s="1"/>
      <c r="J110" s="5"/>
    </row>
    <row r="111" spans="1:10" x14ac:dyDescent="0.35">
      <c r="A111" s="1">
        <v>3</v>
      </c>
      <c r="B111" s="3" t="s">
        <v>10</v>
      </c>
      <c r="C111" s="1" t="s">
        <v>5</v>
      </c>
      <c r="D111" s="4" t="s">
        <v>7</v>
      </c>
      <c r="E111">
        <v>81</v>
      </c>
      <c r="F111" s="1">
        <v>59</v>
      </c>
      <c r="H111" s="1"/>
      <c r="J111" s="5"/>
    </row>
    <row r="112" spans="1:10" x14ac:dyDescent="0.35">
      <c r="A112" s="1">
        <v>4</v>
      </c>
      <c r="B112" s="3" t="s">
        <v>4</v>
      </c>
      <c r="C112" s="1" t="s">
        <v>5</v>
      </c>
      <c r="D112" s="4" t="s">
        <v>6</v>
      </c>
      <c r="E112">
        <v>147</v>
      </c>
      <c r="F112" s="1">
        <v>56</v>
      </c>
      <c r="H112" s="1"/>
      <c r="J112" s="5"/>
    </row>
    <row r="113" spans="1:10" x14ac:dyDescent="0.35">
      <c r="A113" s="1">
        <v>5</v>
      </c>
      <c r="B113" s="3" t="s">
        <v>4</v>
      </c>
      <c r="C113" s="1" t="s">
        <v>5</v>
      </c>
      <c r="D113" s="4" t="s">
        <v>7</v>
      </c>
      <c r="E113">
        <v>240</v>
      </c>
      <c r="F113" s="1">
        <v>49</v>
      </c>
      <c r="H113" s="1"/>
      <c r="J113" s="5"/>
    </row>
    <row r="114" spans="1:10" x14ac:dyDescent="0.35">
      <c r="A114" s="1">
        <v>3</v>
      </c>
      <c r="B114" s="3" t="s">
        <v>10</v>
      </c>
      <c r="C114" s="1" t="s">
        <v>5</v>
      </c>
      <c r="D114" s="4" t="s">
        <v>7</v>
      </c>
      <c r="E114">
        <v>81</v>
      </c>
      <c r="F114" s="1">
        <v>59</v>
      </c>
      <c r="H114" s="1"/>
      <c r="J114" s="5"/>
    </row>
    <row r="115" spans="1:10" x14ac:dyDescent="0.35">
      <c r="A115" s="1">
        <v>1</v>
      </c>
      <c r="B115" s="3" t="s">
        <v>4</v>
      </c>
      <c r="C115" s="1" t="s">
        <v>5</v>
      </c>
      <c r="D115" s="4" t="s">
        <v>7</v>
      </c>
      <c r="E115">
        <v>57</v>
      </c>
      <c r="F115" s="1">
        <v>36</v>
      </c>
      <c r="H115" s="1"/>
      <c r="J115" s="5"/>
    </row>
    <row r="116" spans="1:10" x14ac:dyDescent="0.35">
      <c r="A116" s="1">
        <v>3</v>
      </c>
      <c r="B116" s="3" t="s">
        <v>4</v>
      </c>
      <c r="C116" s="1" t="s">
        <v>5</v>
      </c>
      <c r="D116" s="4" t="s">
        <v>7</v>
      </c>
      <c r="E116">
        <v>153</v>
      </c>
      <c r="F116" s="1">
        <v>35</v>
      </c>
      <c r="H116" s="1"/>
      <c r="J116" s="5"/>
    </row>
    <row r="117" spans="1:10" x14ac:dyDescent="0.35">
      <c r="A117" s="1">
        <v>2</v>
      </c>
      <c r="B117" s="3" t="s">
        <v>4</v>
      </c>
      <c r="C117" s="1" t="s">
        <v>5</v>
      </c>
      <c r="D117" s="4" t="s">
        <v>6</v>
      </c>
      <c r="E117">
        <v>108</v>
      </c>
      <c r="F117" s="1">
        <v>42</v>
      </c>
      <c r="H117" s="1"/>
      <c r="J117" s="5"/>
    </row>
    <row r="118" spans="1:10" x14ac:dyDescent="0.35">
      <c r="A118" s="1">
        <v>8</v>
      </c>
      <c r="B118" s="3" t="s">
        <v>10</v>
      </c>
      <c r="C118" s="1" t="s">
        <v>8</v>
      </c>
      <c r="D118" s="4" t="s">
        <v>7</v>
      </c>
      <c r="E118">
        <v>267</v>
      </c>
      <c r="F118" s="1">
        <v>26</v>
      </c>
      <c r="H118" s="1"/>
      <c r="J118" s="5"/>
    </row>
    <row r="119" spans="1:10" x14ac:dyDescent="0.35">
      <c r="A119" s="1">
        <v>3</v>
      </c>
      <c r="B119" s="3" t="s">
        <v>4</v>
      </c>
      <c r="C119" s="1" t="s">
        <v>8</v>
      </c>
      <c r="D119" s="4" t="s">
        <v>6</v>
      </c>
      <c r="E119">
        <v>159</v>
      </c>
      <c r="F119" s="1">
        <v>28</v>
      </c>
      <c r="H119" s="1"/>
      <c r="J119" s="5"/>
    </row>
    <row r="120" spans="1:10" x14ac:dyDescent="0.35">
      <c r="A120" s="1">
        <v>3</v>
      </c>
      <c r="B120" s="3" t="s">
        <v>10</v>
      </c>
      <c r="C120" s="1" t="s">
        <v>5</v>
      </c>
      <c r="D120" s="4" t="s">
        <v>6</v>
      </c>
      <c r="E120">
        <v>108</v>
      </c>
      <c r="F120" s="1">
        <v>21</v>
      </c>
      <c r="H120" s="1"/>
      <c r="J120" s="5"/>
    </row>
    <row r="121" spans="1:10" x14ac:dyDescent="0.35">
      <c r="A121" s="1">
        <v>1</v>
      </c>
      <c r="B121" s="3" t="s">
        <v>4</v>
      </c>
      <c r="C121" s="1" t="s">
        <v>5</v>
      </c>
      <c r="D121" s="4" t="s">
        <v>7</v>
      </c>
      <c r="E121">
        <v>57</v>
      </c>
      <c r="F121" s="1">
        <v>65</v>
      </c>
      <c r="H121" s="1"/>
      <c r="J121" s="5"/>
    </row>
    <row r="122" spans="1:10" x14ac:dyDescent="0.35">
      <c r="A122" s="1">
        <v>3</v>
      </c>
      <c r="B122" s="3" t="s">
        <v>10</v>
      </c>
      <c r="C122" s="1" t="s">
        <v>5</v>
      </c>
      <c r="D122" s="4" t="s">
        <v>6</v>
      </c>
      <c r="E122">
        <v>132</v>
      </c>
      <c r="F122" s="1">
        <v>30</v>
      </c>
      <c r="H122" s="1"/>
      <c r="J122" s="5"/>
    </row>
    <row r="123" spans="1:10" x14ac:dyDescent="0.35">
      <c r="A123" s="1">
        <v>5</v>
      </c>
      <c r="B123" s="3" t="s">
        <v>4</v>
      </c>
      <c r="C123" s="1" t="s">
        <v>5</v>
      </c>
      <c r="D123" s="4" t="s">
        <v>7</v>
      </c>
      <c r="E123">
        <v>132</v>
      </c>
      <c r="F123" s="1">
        <v>34</v>
      </c>
      <c r="H123" s="1"/>
      <c r="J123" s="5"/>
    </row>
    <row r="124" spans="1:10" x14ac:dyDescent="0.35">
      <c r="A124" s="1">
        <v>13</v>
      </c>
      <c r="B124" s="3" t="s">
        <v>4</v>
      </c>
      <c r="C124" s="1" t="s">
        <v>5</v>
      </c>
      <c r="D124" s="4" t="s">
        <v>6</v>
      </c>
      <c r="E124">
        <v>321</v>
      </c>
      <c r="F124" s="1">
        <v>35</v>
      </c>
      <c r="H124" s="1"/>
      <c r="J124" s="5"/>
    </row>
    <row r="125" spans="1:10" x14ac:dyDescent="0.35">
      <c r="A125" s="1">
        <v>3</v>
      </c>
      <c r="B125" s="3" t="s">
        <v>4</v>
      </c>
      <c r="C125" s="1" t="s">
        <v>5</v>
      </c>
      <c r="D125" s="4" t="s">
        <v>9</v>
      </c>
      <c r="E125">
        <v>93</v>
      </c>
      <c r="F125" s="1">
        <v>34</v>
      </c>
      <c r="H125" s="1"/>
      <c r="J125" s="5"/>
    </row>
    <row r="126" spans="1:10" x14ac:dyDescent="0.35">
      <c r="A126" s="1">
        <v>3</v>
      </c>
      <c r="B126" s="3" t="s">
        <v>4</v>
      </c>
      <c r="C126" s="1" t="s">
        <v>5</v>
      </c>
      <c r="D126" s="4" t="s">
        <v>6</v>
      </c>
      <c r="E126">
        <v>108</v>
      </c>
      <c r="F126" s="1">
        <v>30</v>
      </c>
      <c r="H126" s="1"/>
      <c r="J126" s="5"/>
    </row>
    <row r="127" spans="1:10" x14ac:dyDescent="0.35">
      <c r="A127" s="1">
        <v>3</v>
      </c>
      <c r="B127" s="3" t="s">
        <v>4</v>
      </c>
      <c r="C127" s="1" t="s">
        <v>5</v>
      </c>
      <c r="D127" s="4" t="s">
        <v>6</v>
      </c>
      <c r="E127">
        <v>54</v>
      </c>
      <c r="F127" s="1">
        <v>62</v>
      </c>
      <c r="H127" s="1"/>
      <c r="J127" s="5"/>
    </row>
    <row r="128" spans="1:10" x14ac:dyDescent="0.35">
      <c r="A128" s="1">
        <v>3</v>
      </c>
      <c r="B128" s="3" t="s">
        <v>4</v>
      </c>
      <c r="C128" s="1" t="s">
        <v>5</v>
      </c>
      <c r="D128" s="4" t="s">
        <v>7</v>
      </c>
      <c r="E128">
        <v>153</v>
      </c>
      <c r="F128" s="1">
        <v>35</v>
      </c>
      <c r="H128" s="1"/>
      <c r="J128" s="5"/>
    </row>
    <row r="129" spans="1:10" x14ac:dyDescent="0.35">
      <c r="A129" s="1">
        <v>2</v>
      </c>
      <c r="B129" s="3" t="s">
        <v>4</v>
      </c>
      <c r="C129" s="1" t="s">
        <v>8</v>
      </c>
      <c r="D129" s="4" t="s">
        <v>6</v>
      </c>
      <c r="E129">
        <v>81</v>
      </c>
      <c r="F129" s="1">
        <v>48</v>
      </c>
      <c r="H129" s="1"/>
      <c r="J129" s="5"/>
    </row>
    <row r="130" spans="1:10" x14ac:dyDescent="0.35">
      <c r="A130" s="1">
        <v>2</v>
      </c>
      <c r="B130" s="3" t="s">
        <v>4</v>
      </c>
      <c r="C130" s="1" t="s">
        <v>8</v>
      </c>
      <c r="D130" s="4" t="s">
        <v>6</v>
      </c>
      <c r="E130">
        <v>81</v>
      </c>
      <c r="F130" s="1">
        <v>48</v>
      </c>
      <c r="H130" s="1"/>
      <c r="J130" s="5"/>
    </row>
    <row r="131" spans="1:10" x14ac:dyDescent="0.35">
      <c r="A131" s="1">
        <v>5</v>
      </c>
      <c r="B131" s="3" t="s">
        <v>4</v>
      </c>
      <c r="C131" s="1" t="s">
        <v>5</v>
      </c>
      <c r="D131" s="4" t="s">
        <v>9</v>
      </c>
      <c r="E131">
        <v>93</v>
      </c>
      <c r="F131" s="1">
        <v>44</v>
      </c>
      <c r="H131" s="1"/>
      <c r="J131" s="5"/>
    </row>
    <row r="132" spans="1:10" x14ac:dyDescent="0.35">
      <c r="A132" s="1">
        <v>2</v>
      </c>
      <c r="B132" s="3" t="s">
        <v>4</v>
      </c>
      <c r="C132" s="1" t="s">
        <v>5</v>
      </c>
      <c r="D132" s="4" t="s">
        <v>7</v>
      </c>
      <c r="E132">
        <v>54</v>
      </c>
      <c r="F132" s="1">
        <v>52</v>
      </c>
      <c r="H132" s="1"/>
      <c r="J132" s="5"/>
    </row>
    <row r="133" spans="1:10" x14ac:dyDescent="0.35">
      <c r="A133" s="1">
        <v>4</v>
      </c>
      <c r="B133" s="3" t="s">
        <v>4</v>
      </c>
      <c r="C133" s="1" t="s">
        <v>5</v>
      </c>
      <c r="D133" s="4" t="s">
        <v>6</v>
      </c>
      <c r="E133">
        <v>147</v>
      </c>
      <c r="F133" s="1">
        <v>56</v>
      </c>
      <c r="H133" s="1"/>
      <c r="J133" s="5"/>
    </row>
    <row r="134" spans="1:10" x14ac:dyDescent="0.35">
      <c r="A134" s="1">
        <v>2</v>
      </c>
      <c r="B134" s="3" t="s">
        <v>10</v>
      </c>
      <c r="C134" s="1" t="s">
        <v>8</v>
      </c>
      <c r="D134" s="4" t="s">
        <v>6</v>
      </c>
      <c r="E134">
        <v>66</v>
      </c>
      <c r="F134" s="1">
        <v>30</v>
      </c>
      <c r="H134" s="1"/>
      <c r="J134" s="5"/>
    </row>
    <row r="135" spans="1:10" x14ac:dyDescent="0.35">
      <c r="A135" s="1">
        <v>2</v>
      </c>
      <c r="B135" s="3" t="s">
        <v>4</v>
      </c>
      <c r="C135" s="1" t="s">
        <v>5</v>
      </c>
      <c r="D135" s="4" t="s">
        <v>7</v>
      </c>
      <c r="E135">
        <v>54</v>
      </c>
      <c r="F135" s="1">
        <v>52</v>
      </c>
      <c r="H135" s="1"/>
      <c r="J135" s="5"/>
    </row>
    <row r="136" spans="1:10" x14ac:dyDescent="0.35">
      <c r="A136" s="1">
        <v>3</v>
      </c>
      <c r="B136" s="3" t="s">
        <v>4</v>
      </c>
      <c r="C136" s="1" t="s">
        <v>8</v>
      </c>
      <c r="D136" s="4" t="s">
        <v>7</v>
      </c>
      <c r="E136">
        <v>120</v>
      </c>
      <c r="F136" s="1">
        <v>40</v>
      </c>
      <c r="H136" s="1"/>
      <c r="J136" s="5"/>
    </row>
    <row r="137" spans="1:10" x14ac:dyDescent="0.35">
      <c r="A137" s="1">
        <v>5</v>
      </c>
      <c r="B137" s="3" t="s">
        <v>4</v>
      </c>
      <c r="C137" s="1" t="s">
        <v>5</v>
      </c>
      <c r="D137" s="4" t="s">
        <v>7</v>
      </c>
      <c r="E137">
        <v>240</v>
      </c>
      <c r="F137" s="1">
        <v>49</v>
      </c>
      <c r="H137" s="1"/>
      <c r="J137" s="5"/>
    </row>
    <row r="138" spans="1:10" x14ac:dyDescent="0.35">
      <c r="A138" s="1">
        <v>7</v>
      </c>
      <c r="B138" s="3" t="s">
        <v>4</v>
      </c>
      <c r="C138" s="1" t="s">
        <v>5</v>
      </c>
      <c r="D138" s="4" t="s">
        <v>7</v>
      </c>
      <c r="E138">
        <v>201</v>
      </c>
      <c r="F138" s="1">
        <v>57</v>
      </c>
      <c r="H138" s="1"/>
      <c r="J138" s="5"/>
    </row>
    <row r="139" spans="1:10" x14ac:dyDescent="0.35">
      <c r="A139" s="1">
        <v>3</v>
      </c>
      <c r="B139" s="3" t="s">
        <v>4</v>
      </c>
      <c r="C139" s="1" t="s">
        <v>5</v>
      </c>
      <c r="D139" s="4" t="s">
        <v>7</v>
      </c>
      <c r="E139">
        <v>108</v>
      </c>
      <c r="F139" s="1">
        <v>51</v>
      </c>
      <c r="H139" s="1"/>
      <c r="J139" s="5"/>
    </row>
    <row r="140" spans="1:10" x14ac:dyDescent="0.35">
      <c r="A140" s="1">
        <v>3</v>
      </c>
      <c r="B140" s="3" t="s">
        <v>4</v>
      </c>
      <c r="C140" s="1" t="s">
        <v>5</v>
      </c>
      <c r="D140" s="4" t="s">
        <v>6</v>
      </c>
      <c r="E140">
        <v>54</v>
      </c>
      <c r="F140" s="1">
        <v>51</v>
      </c>
      <c r="H140" s="1"/>
      <c r="J140" s="5"/>
    </row>
    <row r="141" spans="1:10" x14ac:dyDescent="0.35">
      <c r="A141" s="1">
        <v>1</v>
      </c>
      <c r="B141" s="3" t="s">
        <v>10</v>
      </c>
      <c r="C141" s="1" t="s">
        <v>5</v>
      </c>
      <c r="D141" s="4" t="s">
        <v>6</v>
      </c>
      <c r="E141">
        <v>54</v>
      </c>
      <c r="F141" s="1">
        <v>41</v>
      </c>
      <c r="H141" s="1"/>
      <c r="J141" s="5"/>
    </row>
    <row r="142" spans="1:10" x14ac:dyDescent="0.35">
      <c r="A142" s="1">
        <v>5</v>
      </c>
      <c r="B142" s="3" t="s">
        <v>4</v>
      </c>
      <c r="C142" s="1" t="s">
        <v>5</v>
      </c>
      <c r="D142" s="4" t="s">
        <v>6</v>
      </c>
      <c r="E142">
        <v>186</v>
      </c>
      <c r="F142" s="1">
        <v>59</v>
      </c>
      <c r="H142" s="1"/>
      <c r="J142" s="5"/>
    </row>
    <row r="143" spans="1:10" x14ac:dyDescent="0.35">
      <c r="A143" s="1">
        <v>2</v>
      </c>
      <c r="B143" s="3" t="s">
        <v>4</v>
      </c>
      <c r="C143" s="1" t="s">
        <v>5</v>
      </c>
      <c r="D143" s="4" t="s">
        <v>6</v>
      </c>
      <c r="E143">
        <v>81</v>
      </c>
      <c r="F143" s="1">
        <v>27</v>
      </c>
      <c r="H143" s="1"/>
      <c r="J143" s="5"/>
    </row>
    <row r="144" spans="1:10" x14ac:dyDescent="0.35">
      <c r="A144" s="1">
        <v>3</v>
      </c>
      <c r="B144" s="3" t="s">
        <v>4</v>
      </c>
      <c r="C144" s="1" t="s">
        <v>8</v>
      </c>
      <c r="D144" s="4" t="s">
        <v>7</v>
      </c>
      <c r="E144">
        <v>66</v>
      </c>
      <c r="F144" s="1">
        <v>37</v>
      </c>
      <c r="H144" s="1"/>
      <c r="J144" s="5"/>
    </row>
    <row r="145" spans="1:10" x14ac:dyDescent="0.35">
      <c r="A145" s="1">
        <v>1</v>
      </c>
      <c r="B145" s="3" t="s">
        <v>4</v>
      </c>
      <c r="C145" s="1" t="s">
        <v>8</v>
      </c>
      <c r="D145" s="4" t="s">
        <v>7</v>
      </c>
      <c r="E145">
        <v>57</v>
      </c>
      <c r="F145" s="1">
        <v>42</v>
      </c>
      <c r="H145" s="1"/>
      <c r="J145" s="5"/>
    </row>
    <row r="146" spans="1:10" x14ac:dyDescent="0.35">
      <c r="A146" s="1">
        <v>1</v>
      </c>
      <c r="B146" s="3" t="s">
        <v>4</v>
      </c>
      <c r="C146" s="1" t="s">
        <v>5</v>
      </c>
      <c r="D146" s="4" t="s">
        <v>6</v>
      </c>
      <c r="E146">
        <v>39</v>
      </c>
      <c r="F146" s="1">
        <v>35</v>
      </c>
      <c r="H146" s="1"/>
      <c r="J146" s="5"/>
    </row>
    <row r="147" spans="1:10" x14ac:dyDescent="0.35">
      <c r="A147" s="1">
        <v>3</v>
      </c>
      <c r="B147" s="3" t="s">
        <v>4</v>
      </c>
      <c r="C147" s="1" t="s">
        <v>5</v>
      </c>
      <c r="D147" s="4" t="s">
        <v>6</v>
      </c>
      <c r="E147">
        <v>108</v>
      </c>
      <c r="F147" s="1">
        <v>50</v>
      </c>
      <c r="H147" s="1"/>
      <c r="J147" s="5"/>
    </row>
    <row r="148" spans="1:10" x14ac:dyDescent="0.35">
      <c r="A148" s="1">
        <v>1</v>
      </c>
      <c r="B148" s="3" t="s">
        <v>4</v>
      </c>
      <c r="C148" s="1" t="s">
        <v>8</v>
      </c>
      <c r="D148" s="4" t="s">
        <v>6</v>
      </c>
      <c r="E148">
        <v>57</v>
      </c>
      <c r="F148" s="1">
        <v>40</v>
      </c>
      <c r="H148" s="1"/>
      <c r="J148" s="5"/>
    </row>
    <row r="149" spans="1:10" x14ac:dyDescent="0.35">
      <c r="A149" s="1">
        <v>6</v>
      </c>
      <c r="B149" s="3" t="s">
        <v>4</v>
      </c>
      <c r="C149" s="1" t="s">
        <v>8</v>
      </c>
      <c r="D149" s="4" t="s">
        <v>7</v>
      </c>
      <c r="E149">
        <v>240</v>
      </c>
      <c r="F149" s="1">
        <v>27</v>
      </c>
      <c r="H149" s="1"/>
      <c r="J149" s="5"/>
    </row>
    <row r="150" spans="1:10" x14ac:dyDescent="0.35">
      <c r="A150" s="1">
        <v>3</v>
      </c>
      <c r="B150" s="3" t="s">
        <v>4</v>
      </c>
      <c r="C150" s="1" t="s">
        <v>8</v>
      </c>
      <c r="D150" s="4" t="s">
        <v>6</v>
      </c>
      <c r="E150">
        <v>66</v>
      </c>
      <c r="F150" s="1">
        <v>34</v>
      </c>
      <c r="H150" s="1"/>
      <c r="J150" s="5"/>
    </row>
    <row r="151" spans="1:10" x14ac:dyDescent="0.35">
      <c r="A151" s="1">
        <v>3</v>
      </c>
      <c r="B151" s="3" t="s">
        <v>4</v>
      </c>
      <c r="C151" s="1" t="s">
        <v>5</v>
      </c>
      <c r="D151" s="4" t="s">
        <v>6</v>
      </c>
      <c r="E151">
        <v>81</v>
      </c>
      <c r="F151" s="1">
        <v>31</v>
      </c>
      <c r="H151" s="1"/>
      <c r="J151" s="5"/>
    </row>
    <row r="152" spans="1:10" x14ac:dyDescent="0.35">
      <c r="A152" s="1">
        <v>1</v>
      </c>
      <c r="B152" s="3" t="s">
        <v>10</v>
      </c>
      <c r="C152" s="1" t="s">
        <v>5</v>
      </c>
      <c r="D152" s="4" t="s">
        <v>9</v>
      </c>
      <c r="E152">
        <v>66</v>
      </c>
      <c r="F152" s="1">
        <v>39</v>
      </c>
      <c r="H152" s="1"/>
      <c r="J152" s="5"/>
    </row>
    <row r="153" spans="1:10" x14ac:dyDescent="0.35">
      <c r="A153" s="1">
        <v>5</v>
      </c>
      <c r="B153" s="3" t="s">
        <v>4</v>
      </c>
      <c r="C153" s="1" t="s">
        <v>5</v>
      </c>
      <c r="D153" s="4" t="s">
        <v>9</v>
      </c>
      <c r="E153">
        <v>159</v>
      </c>
      <c r="F153" s="1">
        <v>29</v>
      </c>
      <c r="H153" s="1"/>
      <c r="J153" s="5"/>
    </row>
    <row r="154" spans="1:10" x14ac:dyDescent="0.35">
      <c r="A154" s="1">
        <v>3</v>
      </c>
      <c r="B154" s="3" t="s">
        <v>10</v>
      </c>
      <c r="C154" s="1" t="s">
        <v>5</v>
      </c>
      <c r="D154" s="4" t="s">
        <v>7</v>
      </c>
      <c r="E154">
        <v>108</v>
      </c>
      <c r="F154" s="1">
        <v>59</v>
      </c>
      <c r="H154" s="1"/>
      <c r="J154" s="5"/>
    </row>
    <row r="155" spans="1:10" x14ac:dyDescent="0.35">
      <c r="A155" s="1">
        <v>3</v>
      </c>
      <c r="B155" s="3" t="s">
        <v>4</v>
      </c>
      <c r="C155" s="1" t="s">
        <v>5</v>
      </c>
      <c r="D155" s="4" t="s">
        <v>9</v>
      </c>
      <c r="E155">
        <v>81</v>
      </c>
      <c r="F155" s="1">
        <v>27</v>
      </c>
      <c r="H155" s="1"/>
      <c r="J155" s="5"/>
    </row>
    <row r="156" spans="1:10" x14ac:dyDescent="0.35">
      <c r="A156" s="1">
        <v>4</v>
      </c>
      <c r="B156" s="3" t="s">
        <v>4</v>
      </c>
      <c r="C156" s="1" t="s">
        <v>8</v>
      </c>
      <c r="D156" s="4" t="s">
        <v>6</v>
      </c>
      <c r="E156">
        <v>159</v>
      </c>
      <c r="F156" s="1">
        <v>22</v>
      </c>
      <c r="H156" s="1"/>
      <c r="J156" s="5"/>
    </row>
    <row r="157" spans="1:10" x14ac:dyDescent="0.35">
      <c r="A157" s="1">
        <v>3</v>
      </c>
      <c r="B157" s="3" t="s">
        <v>4</v>
      </c>
      <c r="C157" s="1" t="s">
        <v>5</v>
      </c>
      <c r="D157" s="4" t="s">
        <v>7</v>
      </c>
      <c r="E157">
        <v>120</v>
      </c>
      <c r="F157" s="1">
        <v>35</v>
      </c>
      <c r="H157" s="1"/>
      <c r="J157" s="5"/>
    </row>
    <row r="158" spans="1:10" x14ac:dyDescent="0.35">
      <c r="A158" s="1">
        <v>3</v>
      </c>
      <c r="B158" s="3" t="s">
        <v>10</v>
      </c>
      <c r="C158" s="1" t="s">
        <v>5</v>
      </c>
      <c r="D158" s="4" t="s">
        <v>7</v>
      </c>
      <c r="E158">
        <v>108</v>
      </c>
      <c r="F158" s="1">
        <v>59</v>
      </c>
      <c r="H158" s="1"/>
      <c r="J158" s="5"/>
    </row>
    <row r="159" spans="1:10" x14ac:dyDescent="0.35">
      <c r="A159" s="1">
        <v>2</v>
      </c>
      <c r="B159" s="3" t="s">
        <v>4</v>
      </c>
      <c r="C159" s="1" t="s">
        <v>5</v>
      </c>
      <c r="D159" s="4" t="s">
        <v>7</v>
      </c>
      <c r="E159">
        <v>81</v>
      </c>
      <c r="F159" s="1">
        <v>30</v>
      </c>
      <c r="H159" s="1"/>
      <c r="J159" s="5"/>
    </row>
    <row r="160" spans="1:10" x14ac:dyDescent="0.35">
      <c r="A160" s="1">
        <v>2</v>
      </c>
      <c r="B160" s="3" t="s">
        <v>4</v>
      </c>
      <c r="C160" s="1" t="s">
        <v>8</v>
      </c>
      <c r="D160" s="4" t="s">
        <v>9</v>
      </c>
      <c r="E160">
        <v>66</v>
      </c>
      <c r="F160" s="1">
        <v>25</v>
      </c>
      <c r="H160" s="1"/>
      <c r="J160" s="5"/>
    </row>
    <row r="161" spans="1:10" x14ac:dyDescent="0.35">
      <c r="A161" s="1">
        <v>3</v>
      </c>
      <c r="B161" s="3" t="s">
        <v>4</v>
      </c>
      <c r="C161" s="1" t="s">
        <v>5</v>
      </c>
      <c r="D161" s="4" t="s">
        <v>7</v>
      </c>
      <c r="E161">
        <v>108</v>
      </c>
      <c r="F161" s="1">
        <v>52</v>
      </c>
      <c r="H161" s="1"/>
      <c r="J161" s="5"/>
    </row>
    <row r="162" spans="1:10" x14ac:dyDescent="0.35">
      <c r="A162" s="1">
        <v>5</v>
      </c>
      <c r="B162" s="3" t="s">
        <v>4</v>
      </c>
      <c r="C162" s="1" t="s">
        <v>5</v>
      </c>
      <c r="D162" s="4" t="s">
        <v>6</v>
      </c>
      <c r="E162">
        <v>201</v>
      </c>
      <c r="F162" s="1">
        <v>31</v>
      </c>
      <c r="H162" s="1"/>
      <c r="J162" s="5"/>
    </row>
    <row r="163" spans="1:10" x14ac:dyDescent="0.35">
      <c r="A163" s="1">
        <v>3</v>
      </c>
      <c r="B163" s="3" t="s">
        <v>10</v>
      </c>
      <c r="C163" s="1" t="s">
        <v>8</v>
      </c>
      <c r="D163" s="4" t="s">
        <v>6</v>
      </c>
      <c r="E163">
        <v>108</v>
      </c>
      <c r="F163" s="1">
        <v>43</v>
      </c>
      <c r="H163" s="1"/>
      <c r="J163" s="5"/>
    </row>
    <row r="164" spans="1:10" x14ac:dyDescent="0.35">
      <c r="A164" s="1">
        <v>3</v>
      </c>
      <c r="B164" s="3" t="s">
        <v>4</v>
      </c>
      <c r="C164" s="1" t="s">
        <v>5</v>
      </c>
      <c r="D164" s="4" t="s">
        <v>6</v>
      </c>
      <c r="E164">
        <v>81</v>
      </c>
      <c r="F164" s="1">
        <v>50</v>
      </c>
      <c r="H164" s="1"/>
      <c r="J164" s="5"/>
    </row>
    <row r="165" spans="1:10" x14ac:dyDescent="0.35">
      <c r="A165" s="1">
        <v>5</v>
      </c>
      <c r="B165" s="3" t="s">
        <v>4</v>
      </c>
      <c r="C165" s="1" t="s">
        <v>5</v>
      </c>
      <c r="D165" s="4" t="s">
        <v>6</v>
      </c>
      <c r="E165">
        <v>186</v>
      </c>
      <c r="F165" s="1">
        <v>59</v>
      </c>
      <c r="H165" s="1"/>
      <c r="J165" s="5"/>
    </row>
    <row r="166" spans="1:10" x14ac:dyDescent="0.35">
      <c r="A166" s="1">
        <v>1</v>
      </c>
      <c r="B166" s="3" t="s">
        <v>4</v>
      </c>
      <c r="C166" s="1" t="s">
        <v>8</v>
      </c>
      <c r="D166" s="4" t="s">
        <v>7</v>
      </c>
      <c r="E166">
        <v>132</v>
      </c>
      <c r="F166" s="1">
        <v>42</v>
      </c>
      <c r="H166" s="1"/>
      <c r="J166" s="5"/>
    </row>
    <row r="167" spans="1:10" x14ac:dyDescent="0.35">
      <c r="A167" s="1">
        <v>2</v>
      </c>
      <c r="B167" s="3" t="s">
        <v>4</v>
      </c>
      <c r="C167" s="1" t="s">
        <v>8</v>
      </c>
      <c r="D167" s="4" t="s">
        <v>9</v>
      </c>
      <c r="E167">
        <v>66</v>
      </c>
      <c r="F167" s="1">
        <v>25</v>
      </c>
      <c r="H167" s="1"/>
      <c r="J167" s="5"/>
    </row>
    <row r="168" spans="1:10" x14ac:dyDescent="0.35">
      <c r="A168" s="1">
        <v>3</v>
      </c>
      <c r="B168" s="3" t="s">
        <v>4</v>
      </c>
      <c r="C168" s="1" t="s">
        <v>5</v>
      </c>
      <c r="D168" s="4" t="s">
        <v>9</v>
      </c>
      <c r="E168">
        <v>81</v>
      </c>
      <c r="F168" s="1">
        <v>27</v>
      </c>
      <c r="H168" s="1"/>
      <c r="J168" s="5"/>
    </row>
    <row r="169" spans="1:10" x14ac:dyDescent="0.35">
      <c r="A169" s="1">
        <v>3</v>
      </c>
      <c r="B169" s="3" t="s">
        <v>4</v>
      </c>
      <c r="C169" s="1" t="s">
        <v>8</v>
      </c>
      <c r="D169" s="4" t="s">
        <v>9</v>
      </c>
      <c r="E169">
        <v>66</v>
      </c>
      <c r="F169" s="1">
        <v>35</v>
      </c>
      <c r="H169" s="1"/>
      <c r="J169" s="5"/>
    </row>
    <row r="170" spans="1:10" x14ac:dyDescent="0.35">
      <c r="A170" s="1">
        <v>3</v>
      </c>
      <c r="B170" s="3" t="s">
        <v>10</v>
      </c>
      <c r="C170" s="1" t="s">
        <v>5</v>
      </c>
      <c r="D170" s="4" t="s">
        <v>7</v>
      </c>
      <c r="E170">
        <v>174</v>
      </c>
      <c r="F170" s="1">
        <v>58</v>
      </c>
      <c r="H170" s="1"/>
      <c r="J170" s="5"/>
    </row>
    <row r="171" spans="1:10" x14ac:dyDescent="0.35">
      <c r="A171" s="1">
        <v>1</v>
      </c>
      <c r="B171" s="3" t="s">
        <v>4</v>
      </c>
      <c r="C171" s="1" t="s">
        <v>8</v>
      </c>
      <c r="D171" s="4" t="s">
        <v>7</v>
      </c>
      <c r="E171">
        <v>57</v>
      </c>
      <c r="F171" s="1">
        <v>42</v>
      </c>
      <c r="H171" s="1"/>
      <c r="J171" s="5"/>
    </row>
    <row r="172" spans="1:10" x14ac:dyDescent="0.35">
      <c r="A172" s="1">
        <v>6</v>
      </c>
      <c r="B172" s="3" t="s">
        <v>4</v>
      </c>
      <c r="C172" s="1" t="s">
        <v>5</v>
      </c>
      <c r="D172" s="4" t="s">
        <v>6</v>
      </c>
      <c r="E172">
        <v>159</v>
      </c>
      <c r="F172" s="1">
        <v>60</v>
      </c>
      <c r="H172" s="1"/>
      <c r="J172" s="5"/>
    </row>
    <row r="173" spans="1:10" x14ac:dyDescent="0.35">
      <c r="A173" s="1">
        <v>2</v>
      </c>
      <c r="B173" s="3" t="s">
        <v>4</v>
      </c>
      <c r="C173" s="1" t="s">
        <v>5</v>
      </c>
      <c r="D173" s="4" t="s">
        <v>6</v>
      </c>
      <c r="E173">
        <v>54</v>
      </c>
      <c r="F173" s="1">
        <v>42</v>
      </c>
      <c r="H173" s="1"/>
      <c r="J173" s="5"/>
    </row>
    <row r="174" spans="1:10" x14ac:dyDescent="0.35">
      <c r="A174" s="1">
        <v>4</v>
      </c>
      <c r="B174" s="3" t="s">
        <v>4</v>
      </c>
      <c r="C174" s="1" t="s">
        <v>5</v>
      </c>
      <c r="D174" s="4" t="s">
        <v>7</v>
      </c>
      <c r="E174">
        <v>132</v>
      </c>
      <c r="F174" s="1">
        <v>62</v>
      </c>
      <c r="H174" s="1"/>
      <c r="J174" s="5"/>
    </row>
    <row r="175" spans="1:10" x14ac:dyDescent="0.35">
      <c r="A175" s="1">
        <v>2</v>
      </c>
      <c r="B175" s="3" t="s">
        <v>4</v>
      </c>
      <c r="C175" s="1" t="s">
        <v>8</v>
      </c>
      <c r="D175" s="4" t="s">
        <v>9</v>
      </c>
      <c r="E175">
        <v>57</v>
      </c>
      <c r="F175" s="1">
        <v>73</v>
      </c>
      <c r="H175" s="1"/>
      <c r="J175" s="5"/>
    </row>
    <row r="176" spans="1:10" x14ac:dyDescent="0.35">
      <c r="A176" s="1">
        <v>1</v>
      </c>
      <c r="B176" s="3" t="s">
        <v>10</v>
      </c>
      <c r="C176" s="1" t="s">
        <v>5</v>
      </c>
      <c r="D176" s="4" t="s">
        <v>9</v>
      </c>
      <c r="E176">
        <v>66</v>
      </c>
      <c r="F176" s="1">
        <v>39</v>
      </c>
      <c r="H176" s="1"/>
      <c r="J176" s="5"/>
    </row>
    <row r="177" spans="1:10" x14ac:dyDescent="0.35">
      <c r="A177" s="1">
        <v>3</v>
      </c>
      <c r="B177" s="3" t="s">
        <v>4</v>
      </c>
      <c r="C177" s="1" t="s">
        <v>5</v>
      </c>
      <c r="D177" s="4" t="s">
        <v>9</v>
      </c>
      <c r="E177">
        <v>159</v>
      </c>
      <c r="F177" s="1">
        <v>26</v>
      </c>
      <c r="H177" s="1"/>
      <c r="J177" s="5"/>
    </row>
    <row r="178" spans="1:10" x14ac:dyDescent="0.35">
      <c r="A178" s="1">
        <v>4</v>
      </c>
      <c r="B178" s="3" t="s">
        <v>4</v>
      </c>
      <c r="C178" s="1" t="s">
        <v>8</v>
      </c>
      <c r="D178" s="4" t="s">
        <v>6</v>
      </c>
      <c r="E178">
        <v>159</v>
      </c>
      <c r="F178" s="1">
        <v>22</v>
      </c>
      <c r="H178" s="1"/>
      <c r="J178" s="5"/>
    </row>
    <row r="179" spans="1:10" x14ac:dyDescent="0.35">
      <c r="A179" s="1">
        <v>3</v>
      </c>
      <c r="B179" s="3" t="s">
        <v>4</v>
      </c>
      <c r="C179" s="1" t="s">
        <v>5</v>
      </c>
      <c r="D179" s="4" t="s">
        <v>7</v>
      </c>
      <c r="E179">
        <v>108</v>
      </c>
      <c r="F179" s="1">
        <v>42</v>
      </c>
      <c r="H179" s="1"/>
      <c r="J179" s="5"/>
    </row>
    <row r="180" spans="1:10" x14ac:dyDescent="0.35">
      <c r="A180" s="1">
        <v>5</v>
      </c>
      <c r="B180" s="3" t="s">
        <v>4</v>
      </c>
      <c r="C180" s="1" t="s">
        <v>8</v>
      </c>
      <c r="D180" s="4" t="s">
        <v>9</v>
      </c>
      <c r="E180">
        <v>186</v>
      </c>
      <c r="F180" s="1">
        <v>53</v>
      </c>
      <c r="H180" s="1"/>
      <c r="J180" s="5"/>
    </row>
    <row r="181" spans="1:10" x14ac:dyDescent="0.35">
      <c r="A181" s="1">
        <v>5</v>
      </c>
      <c r="B181" s="3" t="s">
        <v>4</v>
      </c>
      <c r="C181" s="1" t="s">
        <v>8</v>
      </c>
      <c r="D181" s="4" t="s">
        <v>6</v>
      </c>
      <c r="E181">
        <v>213</v>
      </c>
      <c r="F181" s="1">
        <v>40</v>
      </c>
      <c r="H181" s="1"/>
      <c r="J181" s="5"/>
    </row>
    <row r="182" spans="1:10" x14ac:dyDescent="0.35">
      <c r="A182" s="1">
        <v>3</v>
      </c>
      <c r="B182" s="3" t="s">
        <v>4</v>
      </c>
      <c r="C182" s="1" t="s">
        <v>5</v>
      </c>
      <c r="D182" s="4" t="s">
        <v>6</v>
      </c>
      <c r="E182">
        <v>54</v>
      </c>
      <c r="F182" s="1">
        <v>51</v>
      </c>
      <c r="H182" s="1"/>
      <c r="J182" s="5"/>
    </row>
    <row r="183" spans="1:10" x14ac:dyDescent="0.35">
      <c r="A183" s="1">
        <v>3</v>
      </c>
      <c r="B183" s="3" t="s">
        <v>4</v>
      </c>
      <c r="C183" s="1" t="s">
        <v>5</v>
      </c>
      <c r="D183" s="4" t="s">
        <v>9</v>
      </c>
      <c r="E183">
        <v>159</v>
      </c>
      <c r="F183" s="1">
        <v>26</v>
      </c>
      <c r="H183" s="1"/>
      <c r="J183" s="5"/>
    </row>
    <row r="184" spans="1:10" x14ac:dyDescent="0.35">
      <c r="A184" s="1">
        <v>1</v>
      </c>
      <c r="B184" s="3" t="s">
        <v>10</v>
      </c>
      <c r="C184" s="1" t="s">
        <v>5</v>
      </c>
      <c r="D184" s="4" t="s">
        <v>9</v>
      </c>
      <c r="E184">
        <v>108</v>
      </c>
      <c r="F184" s="1">
        <v>26</v>
      </c>
      <c r="H184" s="1"/>
      <c r="J184" s="5"/>
    </row>
    <row r="185" spans="1:10" x14ac:dyDescent="0.35">
      <c r="A185" s="1">
        <v>3</v>
      </c>
      <c r="B185" s="3" t="s">
        <v>4</v>
      </c>
      <c r="C185" s="1" t="s">
        <v>5</v>
      </c>
      <c r="D185" s="4" t="s">
        <v>7</v>
      </c>
      <c r="E185">
        <v>108</v>
      </c>
      <c r="F185" s="1">
        <v>51</v>
      </c>
      <c r="H185" s="1"/>
      <c r="J185" s="5"/>
    </row>
    <row r="186" spans="1:10" x14ac:dyDescent="0.35">
      <c r="A186" s="1">
        <v>2</v>
      </c>
      <c r="B186" s="3" t="s">
        <v>10</v>
      </c>
      <c r="C186" s="1" t="s">
        <v>5</v>
      </c>
      <c r="D186" s="4" t="s">
        <v>9</v>
      </c>
      <c r="E186">
        <v>66</v>
      </c>
      <c r="F186" s="1">
        <v>51</v>
      </c>
      <c r="H186" s="1"/>
      <c r="J186" s="5"/>
    </row>
    <row r="187" spans="1:10" x14ac:dyDescent="0.35">
      <c r="A187" s="1">
        <v>3</v>
      </c>
      <c r="B187" s="3" t="s">
        <v>4</v>
      </c>
      <c r="C187" s="1" t="s">
        <v>8</v>
      </c>
      <c r="D187" s="4" t="s">
        <v>7</v>
      </c>
      <c r="E187">
        <v>120</v>
      </c>
      <c r="F187" s="1">
        <v>40</v>
      </c>
      <c r="H187" s="1"/>
      <c r="J187" s="5"/>
    </row>
    <row r="188" spans="1:10" x14ac:dyDescent="0.35">
      <c r="A188" s="1">
        <v>4</v>
      </c>
      <c r="B188" s="3" t="s">
        <v>10</v>
      </c>
      <c r="C188" s="1" t="s">
        <v>8</v>
      </c>
      <c r="D188" s="4" t="s">
        <v>7</v>
      </c>
      <c r="E188">
        <v>174</v>
      </c>
      <c r="F188" s="1">
        <v>47</v>
      </c>
      <c r="H188" s="1"/>
      <c r="J188" s="5"/>
    </row>
    <row r="189" spans="1:10" x14ac:dyDescent="0.35">
      <c r="A189" s="1">
        <v>2</v>
      </c>
      <c r="B189" s="3" t="s">
        <v>4</v>
      </c>
      <c r="C189" s="1" t="s">
        <v>8</v>
      </c>
      <c r="D189" s="4" t="s">
        <v>9</v>
      </c>
      <c r="E189">
        <v>57</v>
      </c>
      <c r="F189" s="1">
        <v>73</v>
      </c>
      <c r="H189" s="1"/>
      <c r="J189" s="5"/>
    </row>
    <row r="190" spans="1:10" x14ac:dyDescent="0.35">
      <c r="A190" s="1">
        <v>5</v>
      </c>
      <c r="B190" s="3" t="s">
        <v>4</v>
      </c>
      <c r="C190" s="1" t="s">
        <v>5</v>
      </c>
      <c r="D190" s="4" t="s">
        <v>7</v>
      </c>
      <c r="E190">
        <v>132</v>
      </c>
      <c r="F190" s="1">
        <v>34</v>
      </c>
      <c r="H190" s="1"/>
      <c r="J190" s="5"/>
    </row>
    <row r="191" spans="1:10" x14ac:dyDescent="0.35">
      <c r="A191" s="1">
        <v>3</v>
      </c>
      <c r="B191" s="3" t="s">
        <v>4</v>
      </c>
      <c r="C191" s="1" t="s">
        <v>5</v>
      </c>
      <c r="D191" s="4" t="s">
        <v>7</v>
      </c>
      <c r="E191">
        <v>81</v>
      </c>
      <c r="F191" s="1">
        <v>49</v>
      </c>
      <c r="H191" s="1"/>
      <c r="J191" s="5"/>
    </row>
    <row r="192" spans="1:10" x14ac:dyDescent="0.35">
      <c r="A192" s="1">
        <v>3</v>
      </c>
      <c r="B192" s="3" t="s">
        <v>10</v>
      </c>
      <c r="C192" s="1" t="s">
        <v>5</v>
      </c>
      <c r="D192" s="4" t="s">
        <v>7</v>
      </c>
      <c r="E192">
        <v>174</v>
      </c>
      <c r="F192" s="1">
        <v>58</v>
      </c>
      <c r="H192" s="1"/>
      <c r="J192" s="5"/>
    </row>
    <row r="193" spans="1:10" x14ac:dyDescent="0.35">
      <c r="A193" s="1">
        <v>3</v>
      </c>
      <c r="B193" s="3" t="s">
        <v>4</v>
      </c>
      <c r="C193" s="1" t="s">
        <v>5</v>
      </c>
      <c r="D193" s="4" t="s">
        <v>9</v>
      </c>
      <c r="E193">
        <v>108</v>
      </c>
      <c r="F193" s="1">
        <v>24</v>
      </c>
      <c r="H193" s="1"/>
      <c r="J193" s="5"/>
    </row>
    <row r="194" spans="1:10" x14ac:dyDescent="0.35">
      <c r="A194" s="1">
        <v>1</v>
      </c>
      <c r="B194" s="3" t="s">
        <v>4</v>
      </c>
      <c r="C194" s="1" t="s">
        <v>5</v>
      </c>
      <c r="D194" s="4" t="s">
        <v>6</v>
      </c>
      <c r="E194">
        <v>57</v>
      </c>
      <c r="F194" s="1">
        <v>50</v>
      </c>
      <c r="H194" s="1"/>
      <c r="J194" s="5"/>
    </row>
    <row r="195" spans="1:10" x14ac:dyDescent="0.35">
      <c r="A195" s="1">
        <v>3</v>
      </c>
      <c r="B195" s="3" t="s">
        <v>4</v>
      </c>
      <c r="C195" s="1" t="s">
        <v>8</v>
      </c>
      <c r="D195" s="4" t="s">
        <v>6</v>
      </c>
      <c r="E195">
        <v>108</v>
      </c>
      <c r="F195" s="1">
        <v>28</v>
      </c>
      <c r="H195" s="1"/>
      <c r="J195" s="5"/>
    </row>
    <row r="196" spans="1:10" x14ac:dyDescent="0.35">
      <c r="A196" s="1">
        <v>1</v>
      </c>
      <c r="B196" s="3" t="s">
        <v>4</v>
      </c>
      <c r="C196" s="1" t="s">
        <v>5</v>
      </c>
      <c r="D196" s="4" t="s">
        <v>7</v>
      </c>
      <c r="E196">
        <v>57</v>
      </c>
      <c r="F196" s="1">
        <v>36</v>
      </c>
      <c r="H196" s="1"/>
      <c r="J196" s="5"/>
    </row>
    <row r="197" spans="1:10" x14ac:dyDescent="0.35">
      <c r="A197" s="1">
        <v>7</v>
      </c>
      <c r="B197" s="3" t="s">
        <v>4</v>
      </c>
      <c r="C197" s="1" t="s">
        <v>5</v>
      </c>
      <c r="D197" s="4" t="s">
        <v>7</v>
      </c>
      <c r="E197">
        <v>201</v>
      </c>
      <c r="F197" s="1">
        <v>57</v>
      </c>
      <c r="H197" s="1"/>
      <c r="J197" s="5"/>
    </row>
    <row r="198" spans="1:10" x14ac:dyDescent="0.35">
      <c r="A198" s="1">
        <v>3</v>
      </c>
      <c r="B198" s="3" t="s">
        <v>4</v>
      </c>
      <c r="C198" s="1" t="s">
        <v>8</v>
      </c>
      <c r="D198" s="4" t="s">
        <v>7</v>
      </c>
      <c r="E198">
        <v>72</v>
      </c>
      <c r="F198" s="1">
        <v>26</v>
      </c>
      <c r="H198" s="1"/>
      <c r="J198" s="5"/>
    </row>
    <row r="199" spans="1:10" x14ac:dyDescent="0.35">
      <c r="A199" s="1">
        <v>2</v>
      </c>
      <c r="B199" s="3" t="s">
        <v>10</v>
      </c>
      <c r="C199" s="1" t="s">
        <v>8</v>
      </c>
      <c r="D199" s="4" t="s">
        <v>7</v>
      </c>
      <c r="E199">
        <v>108</v>
      </c>
      <c r="F199" s="1">
        <v>53</v>
      </c>
      <c r="H199" s="1"/>
      <c r="J199" s="5"/>
    </row>
    <row r="200" spans="1:10" x14ac:dyDescent="0.35">
      <c r="A200" s="1">
        <v>3</v>
      </c>
      <c r="B200" s="3" t="s">
        <v>4</v>
      </c>
      <c r="C200" s="1" t="s">
        <v>8</v>
      </c>
      <c r="D200" s="4" t="s">
        <v>9</v>
      </c>
      <c r="E200">
        <v>93</v>
      </c>
      <c r="F200" s="1">
        <v>34</v>
      </c>
      <c r="H200" s="1"/>
      <c r="J200" s="5"/>
    </row>
    <row r="201" spans="1:10" x14ac:dyDescent="0.35">
      <c r="A201" s="1">
        <v>5</v>
      </c>
      <c r="B201" s="3" t="s">
        <v>10</v>
      </c>
      <c r="C201" s="1" t="s">
        <v>8</v>
      </c>
      <c r="D201" s="4" t="s">
        <v>7</v>
      </c>
      <c r="E201">
        <v>159</v>
      </c>
      <c r="F201" s="1">
        <v>47</v>
      </c>
      <c r="H201" s="1"/>
      <c r="J201" s="5"/>
    </row>
  </sheetData>
  <mergeCells count="3">
    <mergeCell ref="H1:K1"/>
    <mergeCell ref="M1:Q1"/>
    <mergeCell ref="I58:L5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38D4-3890-462D-B756-17CDF8B8DA71}">
  <dimension ref="A1:P34"/>
  <sheetViews>
    <sheetView zoomScale="85" zoomScaleNormal="85" workbookViewId="0">
      <selection activeCell="K18" activeCellId="1" sqref="K1 K18"/>
    </sheetView>
  </sheetViews>
  <sheetFormatPr defaultRowHeight="14.5" x14ac:dyDescent="0.35"/>
  <cols>
    <col min="1" max="1" width="49.7265625" bestFit="1" customWidth="1"/>
    <col min="2" max="3" width="14.453125" bestFit="1" customWidth="1"/>
    <col min="5" max="5" width="24.453125" customWidth="1"/>
    <col min="6" max="6" width="20.81640625" bestFit="1" customWidth="1"/>
    <col min="7" max="7" width="13.26953125" bestFit="1" customWidth="1"/>
    <col min="8" max="8" width="11.81640625" bestFit="1" customWidth="1"/>
    <col min="9" max="9" width="14.1796875" customWidth="1"/>
    <col min="11" max="11" width="19.81640625" bestFit="1" customWidth="1"/>
    <col min="12" max="12" width="20.81640625" bestFit="1" customWidth="1"/>
    <col min="13" max="13" width="11.81640625" bestFit="1" customWidth="1"/>
    <col min="14" max="14" width="14.7265625" bestFit="1" customWidth="1"/>
    <col min="15" max="15" width="11.81640625" bestFit="1" customWidth="1"/>
  </cols>
  <sheetData>
    <row r="1" spans="1:16" x14ac:dyDescent="0.35">
      <c r="A1" s="99" t="s">
        <v>125</v>
      </c>
      <c r="B1" s="100"/>
      <c r="C1" s="101"/>
      <c r="E1" s="99"/>
      <c r="F1" s="100" t="s">
        <v>141</v>
      </c>
      <c r="G1" s="100"/>
      <c r="H1" s="100"/>
      <c r="I1" s="101"/>
      <c r="K1" s="99"/>
      <c r="L1" s="100"/>
      <c r="M1" s="100"/>
      <c r="N1" s="100"/>
      <c r="O1" s="100"/>
      <c r="P1" s="101"/>
    </row>
    <row r="2" spans="1:16" ht="15" thickBot="1" x14ac:dyDescent="0.4">
      <c r="A2" s="106"/>
      <c r="B2" t="s">
        <v>138</v>
      </c>
      <c r="C2" s="103" t="s">
        <v>139</v>
      </c>
      <c r="E2" s="102" t="s">
        <v>120</v>
      </c>
      <c r="F2" t="s">
        <v>15</v>
      </c>
      <c r="I2" s="103"/>
      <c r="K2" s="102" t="s">
        <v>120</v>
      </c>
      <c r="L2" t="s">
        <v>15</v>
      </c>
      <c r="P2" s="103"/>
    </row>
    <row r="3" spans="1:16" x14ac:dyDescent="0.35">
      <c r="A3" s="111"/>
      <c r="B3" s="93" t="s">
        <v>126</v>
      </c>
      <c r="C3" s="112" t="s">
        <v>127</v>
      </c>
      <c r="E3" s="102" t="s">
        <v>13</v>
      </c>
      <c r="F3" s="6" t="s">
        <v>5</v>
      </c>
      <c r="G3" s="6" t="s">
        <v>8</v>
      </c>
      <c r="H3" s="6" t="s">
        <v>14</v>
      </c>
      <c r="I3" s="103"/>
      <c r="K3" s="102" t="s">
        <v>13</v>
      </c>
      <c r="L3" s="6" t="s">
        <v>7</v>
      </c>
      <c r="M3" s="6" t="s">
        <v>9</v>
      </c>
      <c r="N3" s="6" t="s">
        <v>6</v>
      </c>
      <c r="O3" s="6" t="s">
        <v>14</v>
      </c>
      <c r="P3" s="103"/>
    </row>
    <row r="4" spans="1:16" x14ac:dyDescent="0.35">
      <c r="A4" s="106" t="s">
        <v>128</v>
      </c>
      <c r="B4">
        <v>2.76</v>
      </c>
      <c r="C4" s="103">
        <v>3.4533333333333331</v>
      </c>
      <c r="E4" s="105" t="s">
        <v>10</v>
      </c>
      <c r="F4">
        <v>30</v>
      </c>
      <c r="G4">
        <v>20</v>
      </c>
      <c r="H4">
        <v>50</v>
      </c>
      <c r="I4" s="103"/>
      <c r="K4" s="105" t="s">
        <v>5</v>
      </c>
      <c r="L4">
        <v>48</v>
      </c>
      <c r="M4">
        <v>26</v>
      </c>
      <c r="N4">
        <v>54</v>
      </c>
      <c r="O4">
        <v>128</v>
      </c>
      <c r="P4" s="103"/>
    </row>
    <row r="5" spans="1:16" x14ac:dyDescent="0.35">
      <c r="A5" s="106" t="s">
        <v>34</v>
      </c>
      <c r="B5">
        <v>2.7167346938775512</v>
      </c>
      <c r="C5" s="103">
        <v>4.6253243847874721</v>
      </c>
      <c r="E5" s="105" t="s">
        <v>4</v>
      </c>
      <c r="F5">
        <v>98</v>
      </c>
      <c r="G5">
        <v>52</v>
      </c>
      <c r="H5">
        <v>150</v>
      </c>
      <c r="I5" s="103"/>
      <c r="K5" s="105" t="s">
        <v>8</v>
      </c>
      <c r="L5">
        <v>28</v>
      </c>
      <c r="M5">
        <v>20</v>
      </c>
      <c r="N5">
        <v>24</v>
      </c>
      <c r="O5">
        <v>72</v>
      </c>
      <c r="P5" s="103"/>
    </row>
    <row r="6" spans="1:16" x14ac:dyDescent="0.35">
      <c r="A6" s="106" t="s">
        <v>98</v>
      </c>
      <c r="B6">
        <v>50</v>
      </c>
      <c r="C6" s="103">
        <v>150</v>
      </c>
      <c r="E6" s="105" t="s">
        <v>14</v>
      </c>
      <c r="F6">
        <v>128</v>
      </c>
      <c r="G6">
        <v>72</v>
      </c>
      <c r="H6">
        <v>200</v>
      </c>
      <c r="I6" s="103"/>
      <c r="K6" s="105" t="s">
        <v>14</v>
      </c>
      <c r="L6">
        <v>76</v>
      </c>
      <c r="M6">
        <v>46</v>
      </c>
      <c r="N6">
        <v>78</v>
      </c>
      <c r="O6">
        <v>200</v>
      </c>
      <c r="P6" s="103"/>
    </row>
    <row r="7" spans="1:16" x14ac:dyDescent="0.35">
      <c r="A7" s="106" t="s">
        <v>129</v>
      </c>
      <c r="B7">
        <v>0</v>
      </c>
      <c r="C7" s="103"/>
      <c r="E7" s="106" t="s">
        <v>140</v>
      </c>
      <c r="I7" s="103"/>
      <c r="K7" s="106"/>
      <c r="P7" s="103"/>
    </row>
    <row r="8" spans="1:16" x14ac:dyDescent="0.35">
      <c r="A8" s="106" t="s">
        <v>104</v>
      </c>
      <c r="B8">
        <v>109</v>
      </c>
      <c r="C8" s="103"/>
      <c r="E8" s="107" t="s">
        <v>13</v>
      </c>
      <c r="F8" s="98" t="s">
        <v>5</v>
      </c>
      <c r="G8" s="98" t="s">
        <v>8</v>
      </c>
      <c r="I8" s="103"/>
      <c r="K8" s="107" t="s">
        <v>13</v>
      </c>
      <c r="L8" s="98" t="s">
        <v>7</v>
      </c>
      <c r="M8" s="98" t="s">
        <v>9</v>
      </c>
      <c r="N8" s="98" t="s">
        <v>6</v>
      </c>
      <c r="P8" s="103"/>
    </row>
    <row r="9" spans="1:16" x14ac:dyDescent="0.35">
      <c r="A9" s="106" t="s">
        <v>110</v>
      </c>
      <c r="B9">
        <v>-2.3757365146864977</v>
      </c>
      <c r="C9" s="103"/>
      <c r="E9" s="105" t="s">
        <v>10</v>
      </c>
      <c r="F9">
        <f>GETPIVOTDATA("пол",$E$2,"пол","женщина")*GETPIVOTDATA("пол",$E$2:$E$2,"цель полета","бизнес")/GETPIVOTDATA("пол",$E$2)</f>
        <v>32</v>
      </c>
      <c r="G9">
        <f>GETPIVOTDATA("пол",$E$2,"пол","женщина")*GETPIVOTDATA("пол",$E$2,"цель полета","личные цели")/200</f>
        <v>18</v>
      </c>
      <c r="I9" s="103"/>
      <c r="K9" s="105" t="s">
        <v>5</v>
      </c>
      <c r="L9">
        <f>GETPIVOTDATA("пол",$K$2,"цель полета","бизнес")*GETPIVOTDATA("пол",$K$2:$K$2,"самая важная характеристика","комфорт")/GETPIVOTDATA("пол",$K$2)</f>
        <v>48.64</v>
      </c>
      <c r="M9">
        <f>GETPIVOTDATA("пол",$K$2,"цель полета","бизнес")*GETPIVOTDATA("пол",$K$2,"самая важная характеристика","точность")/GETPIVOTDATA("пол",$K$2)</f>
        <v>29.44</v>
      </c>
      <c r="N9">
        <f>GETPIVOTDATA("пол",$K$2,"цель полета","бизнес")*GETPIVOTDATA("пол",$K$2,"самая важная характеристика","частота рейсов")/GETPIVOTDATA("пол",$K$2)</f>
        <v>49.92</v>
      </c>
      <c r="P9" s="103"/>
    </row>
    <row r="10" spans="1:16" x14ac:dyDescent="0.35">
      <c r="A10" s="106" t="s">
        <v>130</v>
      </c>
      <c r="B10">
        <v>9.6298896085083956E-3</v>
      </c>
      <c r="C10" s="103"/>
      <c r="E10" s="105" t="s">
        <v>4</v>
      </c>
      <c r="F10">
        <f>GETPIVOTDATA("пол",$E$2,"пол","мужчина")*GETPIVOTDATA("пол",$E$2,"цель полета","бизнес")/GETPIVOTDATA("пол",$E$2)</f>
        <v>96</v>
      </c>
      <c r="G10">
        <f>GETPIVOTDATA("пол",$E$2,"пол","мужчина")*GETPIVOTDATA("пол",$E$2,"цель полета","личные цели")/200</f>
        <v>54</v>
      </c>
      <c r="I10" s="103"/>
      <c r="K10" s="105" t="s">
        <v>8</v>
      </c>
      <c r="L10">
        <f>GETPIVOTDATA("пол",$K$2,"самая важная характеристика","комфорт")*GETPIVOTDATA("пол",$K$2,"цель полета","личные цели")/GETPIVOTDATA("пол",$K$2)</f>
        <v>27.36</v>
      </c>
      <c r="M10">
        <f>GETPIVOTDATA("пол",$K$2,"цель полета","личные цели")*GETPIVOTDATA("пол",$K$2,"самая важная характеристика","точность")/GETPIVOTDATA("пол",$K$2)</f>
        <v>16.559999999999999</v>
      </c>
      <c r="N10">
        <f>GETPIVOTDATA("пол",$K$2,"цель полета","личные цели")*GETPIVOTDATA("пол",$K$2,"самая важная характеристика","частота рейсов")/GETPIVOTDATA("пол",$K$2)</f>
        <v>28.08</v>
      </c>
      <c r="P10" s="103"/>
    </row>
    <row r="11" spans="1:16" x14ac:dyDescent="0.35">
      <c r="A11" s="106" t="s">
        <v>131</v>
      </c>
      <c r="B11">
        <v>1.6589534582030776</v>
      </c>
      <c r="C11" s="103"/>
      <c r="E11" s="105" t="s">
        <v>142</v>
      </c>
      <c r="F11" s="65">
        <f>_xlfn.CHISQ.TEST(F4:G5, F9:G10)</f>
        <v>0.49624247444426295</v>
      </c>
      <c r="I11" s="103"/>
      <c r="K11" s="105" t="s">
        <v>142</v>
      </c>
      <c r="L11" s="65">
        <f>_xlfn.CHISQ.TEST(L4:N5, L9:N10)</f>
        <v>0.35589843672418331</v>
      </c>
      <c r="P11" s="103"/>
    </row>
    <row r="12" spans="1:16" x14ac:dyDescent="0.35">
      <c r="A12" s="106" t="s">
        <v>132</v>
      </c>
      <c r="B12">
        <v>1.9259779217016791E-2</v>
      </c>
      <c r="C12" s="103"/>
      <c r="E12" s="106" t="s">
        <v>143</v>
      </c>
      <c r="I12" s="103"/>
      <c r="K12" s="106" t="s">
        <v>150</v>
      </c>
      <c r="P12" s="103"/>
    </row>
    <row r="13" spans="1:16" ht="15" thickBot="1" x14ac:dyDescent="0.4">
      <c r="A13" s="109" t="s">
        <v>133</v>
      </c>
      <c r="B13" s="92">
        <v>1.9819674897364858</v>
      </c>
      <c r="C13" s="110"/>
      <c r="E13" s="106" t="s">
        <v>144</v>
      </c>
      <c r="F13" s="65">
        <f>_xlfn.CHISQ.INV.RT(F11, 1)</f>
        <v>0.46296296296296297</v>
      </c>
      <c r="I13" s="103"/>
      <c r="K13" s="106" t="s">
        <v>144</v>
      </c>
      <c r="L13" s="65">
        <f>_xlfn.CHISQ.INV.RT(L11, 2)</f>
        <v>2.0662197578673553</v>
      </c>
      <c r="P13" s="103"/>
    </row>
    <row r="14" spans="1:16" x14ac:dyDescent="0.35">
      <c r="E14" s="108" t="s">
        <v>146</v>
      </c>
      <c r="F14">
        <v>0.05</v>
      </c>
      <c r="I14" s="103"/>
      <c r="K14" s="108" t="s">
        <v>146</v>
      </c>
      <c r="L14">
        <v>0.05</v>
      </c>
      <c r="P14" s="103"/>
    </row>
    <row r="15" spans="1:16" ht="15" thickBot="1" x14ac:dyDescent="0.4">
      <c r="E15" s="105" t="s">
        <v>145</v>
      </c>
      <c r="F15" s="65">
        <f>_xlfn.CHISQ.INV.RT(F14, 1)</f>
        <v>3.8414588206941236</v>
      </c>
      <c r="I15" s="103"/>
      <c r="K15" s="105" t="s">
        <v>145</v>
      </c>
      <c r="L15" s="65">
        <f>_xlfn.CHISQ.INV.RT(L14, 2)</f>
        <v>5.9914645471079817</v>
      </c>
      <c r="P15" s="103"/>
    </row>
    <row r="16" spans="1:16" ht="15" thickBot="1" x14ac:dyDescent="0.4">
      <c r="A16" s="99" t="s">
        <v>134</v>
      </c>
      <c r="B16" s="100"/>
      <c r="C16" s="101"/>
      <c r="E16" s="109" t="s">
        <v>147</v>
      </c>
      <c r="F16" s="92"/>
      <c r="G16" s="92"/>
      <c r="H16" s="92"/>
      <c r="I16" s="110"/>
      <c r="K16" s="109" t="s">
        <v>147</v>
      </c>
      <c r="L16" s="92"/>
      <c r="M16" s="92"/>
      <c r="N16" s="92"/>
      <c r="O16" s="92"/>
      <c r="P16" s="110"/>
    </row>
    <row r="17" spans="1:14" ht="15" thickBot="1" x14ac:dyDescent="0.4">
      <c r="A17" s="106"/>
      <c r="B17" t="s">
        <v>136</v>
      </c>
      <c r="C17" s="103" t="s">
        <v>137</v>
      </c>
    </row>
    <row r="18" spans="1:14" x14ac:dyDescent="0.35">
      <c r="A18" s="111"/>
      <c r="B18" s="93" t="s">
        <v>126</v>
      </c>
      <c r="C18" s="112" t="s">
        <v>127</v>
      </c>
      <c r="E18" s="99"/>
      <c r="F18" s="100"/>
      <c r="G18" s="100"/>
      <c r="H18" s="100"/>
      <c r="I18" s="101"/>
      <c r="K18" s="99"/>
      <c r="L18" s="100"/>
      <c r="M18" s="100"/>
      <c r="N18" s="101"/>
    </row>
    <row r="19" spans="1:14" x14ac:dyDescent="0.35">
      <c r="A19" s="106" t="s">
        <v>128</v>
      </c>
      <c r="B19">
        <v>3.1388888888888888</v>
      </c>
      <c r="C19" s="103">
        <v>3.359375</v>
      </c>
      <c r="E19" s="102" t="s">
        <v>120</v>
      </c>
      <c r="F19" t="s">
        <v>15</v>
      </c>
      <c r="I19" s="103"/>
      <c r="K19" s="102" t="s">
        <v>120</v>
      </c>
      <c r="L19" s="6" t="s">
        <v>15</v>
      </c>
      <c r="N19" s="113"/>
    </row>
    <row r="20" spans="1:14" x14ac:dyDescent="0.35">
      <c r="A20" s="106" t="s">
        <v>34</v>
      </c>
      <c r="B20">
        <v>3.5015649452269169</v>
      </c>
      <c r="C20" s="103">
        <v>4.6414862204724407</v>
      </c>
      <c r="E20" s="102" t="s">
        <v>13</v>
      </c>
      <c r="F20" s="6" t="s">
        <v>7</v>
      </c>
      <c r="G20" s="6" t="s">
        <v>9</v>
      </c>
      <c r="H20" s="6" t="s">
        <v>6</v>
      </c>
      <c r="I20" s="104" t="s">
        <v>14</v>
      </c>
      <c r="K20" s="102" t="s">
        <v>13</v>
      </c>
      <c r="L20" t="s">
        <v>7</v>
      </c>
      <c r="M20" t="s">
        <v>14</v>
      </c>
      <c r="N20" s="114" t="s">
        <v>151</v>
      </c>
    </row>
    <row r="21" spans="1:14" x14ac:dyDescent="0.35">
      <c r="A21" s="106" t="s">
        <v>98</v>
      </c>
      <c r="B21">
        <v>72</v>
      </c>
      <c r="C21" s="103">
        <v>128</v>
      </c>
      <c r="E21" s="105" t="s">
        <v>10</v>
      </c>
      <c r="F21">
        <v>30</v>
      </c>
      <c r="G21">
        <v>10</v>
      </c>
      <c r="H21">
        <v>10</v>
      </c>
      <c r="I21" s="103">
        <v>50</v>
      </c>
      <c r="K21" s="105" t="s">
        <v>10</v>
      </c>
      <c r="L21">
        <v>30</v>
      </c>
      <c r="M21">
        <v>30</v>
      </c>
      <c r="N21" s="103">
        <v>50</v>
      </c>
    </row>
    <row r="22" spans="1:14" x14ac:dyDescent="0.35">
      <c r="A22" s="106" t="s">
        <v>135</v>
      </c>
      <c r="B22">
        <v>4.2327265712682376</v>
      </c>
      <c r="C22" s="103"/>
      <c r="E22" s="105" t="s">
        <v>4</v>
      </c>
      <c r="F22">
        <v>46</v>
      </c>
      <c r="G22">
        <v>36</v>
      </c>
      <c r="H22">
        <v>68</v>
      </c>
      <c r="I22" s="103">
        <v>150</v>
      </c>
      <c r="K22" s="105" t="s">
        <v>4</v>
      </c>
      <c r="L22">
        <v>46</v>
      </c>
      <c r="M22">
        <v>46</v>
      </c>
      <c r="N22" s="103">
        <v>150</v>
      </c>
    </row>
    <row r="23" spans="1:14" x14ac:dyDescent="0.35">
      <c r="A23" s="106" t="s">
        <v>129</v>
      </c>
      <c r="B23">
        <v>0</v>
      </c>
      <c r="C23" s="103"/>
      <c r="E23" s="105" t="s">
        <v>14</v>
      </c>
      <c r="F23">
        <v>76</v>
      </c>
      <c r="G23">
        <v>46</v>
      </c>
      <c r="H23">
        <v>78</v>
      </c>
      <c r="I23" s="103">
        <v>200</v>
      </c>
      <c r="K23" s="105" t="s">
        <v>14</v>
      </c>
      <c r="L23">
        <v>76</v>
      </c>
      <c r="M23">
        <v>76</v>
      </c>
      <c r="N23" s="115">
        <v>200</v>
      </c>
    </row>
    <row r="24" spans="1:14" x14ac:dyDescent="0.35">
      <c r="A24" s="106" t="s">
        <v>104</v>
      </c>
      <c r="B24">
        <v>198</v>
      </c>
      <c r="C24" s="103"/>
      <c r="E24" s="106" t="s">
        <v>140</v>
      </c>
      <c r="I24" s="103"/>
      <c r="K24" s="105" t="s">
        <v>152</v>
      </c>
      <c r="M24" t="s">
        <v>158</v>
      </c>
      <c r="N24" s="113">
        <v>0.95</v>
      </c>
    </row>
    <row r="25" spans="1:14" x14ac:dyDescent="0.35">
      <c r="A25" s="106" t="s">
        <v>110</v>
      </c>
      <c r="B25">
        <v>-0.72749056543520507</v>
      </c>
      <c r="C25" s="103"/>
      <c r="E25" s="107" t="s">
        <v>13</v>
      </c>
      <c r="F25" s="98" t="s">
        <v>7</v>
      </c>
      <c r="G25" s="98" t="s">
        <v>9</v>
      </c>
      <c r="H25" s="98" t="s">
        <v>6</v>
      </c>
      <c r="I25" s="103"/>
      <c r="K25" s="105" t="s">
        <v>10</v>
      </c>
      <c r="L25">
        <f>GETPIVOTDATA("пол",$K$19,"пол","женщина","самая важная характеристика","комфорт")/N21</f>
        <v>0.6</v>
      </c>
      <c r="N25" s="103"/>
    </row>
    <row r="26" spans="1:14" x14ac:dyDescent="0.35">
      <c r="A26" s="106" t="s">
        <v>130</v>
      </c>
      <c r="B26">
        <v>0.23389241714451436</v>
      </c>
      <c r="C26" s="103"/>
      <c r="E26" s="105" t="s">
        <v>10</v>
      </c>
      <c r="F26">
        <f>GETPIVOTDATA("пол",$E$19,"пол","женщина")*GETPIVOTDATA("пол",$E$19:$E$19,"самая важная характеристика","комфорт")/GETPIVOTDATA("пол",$E$19)</f>
        <v>19</v>
      </c>
      <c r="G26">
        <f>GETPIVOTDATA("пол",$E$19,"пол","женщина")*GETPIVOTDATA("пол",$E$19,"самая важная характеристика","точность")/GETPIVOTDATA("пол",$E$19)</f>
        <v>11.5</v>
      </c>
      <c r="H26">
        <f>GETPIVOTDATA("пол",$E$19,"пол","женщина")*GETPIVOTDATA("пол",$E$19,"самая важная характеристика","частота рейсов")/GETPIVOTDATA("пол",$E$19)</f>
        <v>19.5</v>
      </c>
      <c r="I26" s="103"/>
      <c r="K26" s="105" t="s">
        <v>4</v>
      </c>
      <c r="L26" s="65">
        <f>GETPIVOTDATA("пол",$K$19,"пол","мужчина","самая важная характеристика","комфорт")/N22</f>
        <v>0.30666666666666664</v>
      </c>
      <c r="N26" s="103"/>
    </row>
    <row r="27" spans="1:14" x14ac:dyDescent="0.35">
      <c r="A27" s="106" t="s">
        <v>131</v>
      </c>
      <c r="B27">
        <v>1.6525857836178461</v>
      </c>
      <c r="C27" s="103"/>
      <c r="E27" s="105" t="s">
        <v>4</v>
      </c>
      <c r="F27">
        <f>GETPIVOTDATA("пол",$E$19,"пол","мужчина")*GETPIVOTDATA("пол",$E$19,"самая важная характеристика","комфорт")/GETPIVOTDATA("пол",$E$19)</f>
        <v>57</v>
      </c>
      <c r="G27">
        <f>GETPIVOTDATA("пол",$E$19,"пол","мужчина")*GETPIVOTDATA("пол",$E$19,"самая важная характеристика","точность")/GETPIVOTDATA("пол",$E$19)</f>
        <v>34.5</v>
      </c>
      <c r="H27">
        <f>GETPIVOTDATA("пол",$E$19,"пол","мужчина")*GETPIVOTDATA("пол",$E$19,"самая важная характеристика","частота рейсов")/GETPIVOTDATA("пол",$E$19)</f>
        <v>58.5</v>
      </c>
      <c r="I27" s="103"/>
      <c r="K27" s="106" t="s">
        <v>153</v>
      </c>
      <c r="L27">
        <f>(SUM(L21:L22)/(SUM(N21:N22)))</f>
        <v>0.38</v>
      </c>
      <c r="N27" s="103"/>
    </row>
    <row r="28" spans="1:14" x14ac:dyDescent="0.35">
      <c r="A28" s="106" t="s">
        <v>132</v>
      </c>
      <c r="B28">
        <v>0.46778483428902873</v>
      </c>
      <c r="C28" s="103"/>
      <c r="E28" s="105" t="s">
        <v>142</v>
      </c>
      <c r="F28" s="65">
        <f>_xlfn.CHISQ.TEST(F21:H22, F26:H27)</f>
        <v>5.7478246920814177E-4</v>
      </c>
      <c r="I28" s="103"/>
      <c r="K28" s="105" t="s">
        <v>154</v>
      </c>
      <c r="L28" s="65">
        <f>SQRT(L27*(1-L27)*(1/N21+1/N22))</f>
        <v>7.9263274387743207E-2</v>
      </c>
      <c r="N28" s="103"/>
    </row>
    <row r="29" spans="1:14" ht="15" thickBot="1" x14ac:dyDescent="0.4">
      <c r="A29" s="109" t="s">
        <v>133</v>
      </c>
      <c r="B29" s="92">
        <v>1.9720174778363073</v>
      </c>
      <c r="C29" s="110"/>
      <c r="E29" s="106" t="s">
        <v>148</v>
      </c>
      <c r="I29" s="103"/>
      <c r="K29" s="106" t="s">
        <v>155</v>
      </c>
      <c r="L29" s="116">
        <f>(L25-L26)/L28</f>
        <v>3.7007471063886888</v>
      </c>
      <c r="N29" s="103"/>
    </row>
    <row r="30" spans="1:14" x14ac:dyDescent="0.35">
      <c r="E30" s="106" t="s">
        <v>144</v>
      </c>
      <c r="F30" s="65">
        <f>_xlfn.CHISQ.INV.RT(F28, 2)</f>
        <v>14.923037806333001</v>
      </c>
      <c r="I30" s="103"/>
      <c r="K30" s="106" t="s">
        <v>156</v>
      </c>
      <c r="L30" s="117">
        <f>1-_xlfn.NORM.S.DIST(L29,TRUE)</f>
        <v>1.0748281568173645E-4</v>
      </c>
      <c r="M30" t="s">
        <v>159</v>
      </c>
      <c r="N30" s="103"/>
    </row>
    <row r="31" spans="1:14" x14ac:dyDescent="0.35">
      <c r="E31" s="108" t="s">
        <v>146</v>
      </c>
      <c r="F31">
        <v>0.05</v>
      </c>
      <c r="I31" s="103"/>
      <c r="K31" s="106" t="s">
        <v>157</v>
      </c>
      <c r="L31" s="65">
        <f>_xlfn.NORM.S.INV(N24)</f>
        <v>1.6448536269514715</v>
      </c>
      <c r="N31" s="103"/>
    </row>
    <row r="32" spans="1:14" x14ac:dyDescent="0.35">
      <c r="E32" s="105" t="s">
        <v>145</v>
      </c>
      <c r="F32" s="65">
        <f>_xlfn.CHISQ.INV.RT(F31, 2)</f>
        <v>5.9914645471079817</v>
      </c>
      <c r="I32" s="103"/>
      <c r="K32" s="106" t="s">
        <v>155</v>
      </c>
      <c r="L32" t="s">
        <v>160</v>
      </c>
      <c r="M32" t="s">
        <v>157</v>
      </c>
      <c r="N32" s="103"/>
    </row>
    <row r="33" spans="5:14" ht="15" thickBot="1" x14ac:dyDescent="0.4">
      <c r="E33" s="109" t="s">
        <v>149</v>
      </c>
      <c r="F33" s="92"/>
      <c r="G33" s="92"/>
      <c r="H33" s="92"/>
      <c r="I33" s="110"/>
      <c r="K33" s="106">
        <v>3.7007471063886888</v>
      </c>
      <c r="L33" t="s">
        <v>160</v>
      </c>
      <c r="M33">
        <v>1.6448536269514715</v>
      </c>
      <c r="N33" s="103"/>
    </row>
    <row r="34" spans="5:14" ht="15" thickBot="1" x14ac:dyDescent="0.4">
      <c r="K34" s="109" t="s">
        <v>161</v>
      </c>
      <c r="L34" s="92"/>
      <c r="M34" s="92"/>
      <c r="N34" s="110"/>
    </row>
  </sheetData>
  <pageMargins left="0.7" right="0.7" top="0.75" bottom="0.75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1B5F-D8CA-49F0-A9F4-73F88CE78030}">
  <dimension ref="A1:K26"/>
  <sheetViews>
    <sheetView zoomScale="85" zoomScaleNormal="85" workbookViewId="0">
      <selection activeCell="K15" sqref="K15"/>
    </sheetView>
  </sheetViews>
  <sheetFormatPr defaultRowHeight="14.5" x14ac:dyDescent="0.35"/>
  <cols>
    <col min="1" max="1" width="17.81640625" bestFit="1" customWidth="1"/>
    <col min="2" max="2" width="24" bestFit="1" customWidth="1"/>
    <col min="3" max="3" width="32.1796875" bestFit="1" customWidth="1"/>
    <col min="4" max="4" width="14.54296875" bestFit="1" customWidth="1"/>
    <col min="5" max="5" width="10.453125" bestFit="1" customWidth="1"/>
    <col min="9" max="9" width="25.26953125" bestFit="1" customWidth="1"/>
    <col min="10" max="10" width="13.1796875" customWidth="1"/>
  </cols>
  <sheetData>
    <row r="1" spans="1:11" ht="15" thickBot="1" x14ac:dyDescent="0.4">
      <c r="A1" s="61" t="s">
        <v>173</v>
      </c>
      <c r="B1" s="42"/>
      <c r="C1" s="42"/>
      <c r="D1" s="42"/>
      <c r="E1" s="42"/>
      <c r="F1" s="42"/>
      <c r="G1" s="43"/>
    </row>
    <row r="2" spans="1:11" ht="101.5" x14ac:dyDescent="0.35">
      <c r="A2" s="44" t="s">
        <v>62</v>
      </c>
      <c r="B2" s="20">
        <v>0.95</v>
      </c>
      <c r="C2" s="20"/>
      <c r="D2" s="21" t="s">
        <v>63</v>
      </c>
      <c r="E2" s="20" t="s">
        <v>64</v>
      </c>
      <c r="F2" s="20"/>
      <c r="G2" s="45"/>
      <c r="I2" s="53"/>
      <c r="J2" s="54" t="s">
        <v>47</v>
      </c>
      <c r="K2" s="55" t="s">
        <v>48</v>
      </c>
    </row>
    <row r="3" spans="1:11" ht="29" x14ac:dyDescent="0.35">
      <c r="A3" s="46" t="s">
        <v>13</v>
      </c>
      <c r="B3" s="22" t="s">
        <v>58</v>
      </c>
      <c r="C3" s="22" t="s">
        <v>59</v>
      </c>
      <c r="D3" s="22" t="s">
        <v>60</v>
      </c>
      <c r="E3" s="21" t="s">
        <v>61</v>
      </c>
      <c r="F3" s="21" t="s">
        <v>35</v>
      </c>
      <c r="G3" s="47" t="s">
        <v>36</v>
      </c>
      <c r="I3" s="56" t="s">
        <v>26</v>
      </c>
      <c r="J3" s="15" t="s">
        <v>49</v>
      </c>
      <c r="K3" s="57" t="s">
        <v>53</v>
      </c>
    </row>
    <row r="4" spans="1:11" x14ac:dyDescent="0.35">
      <c r="A4" s="46" t="s">
        <v>5</v>
      </c>
      <c r="B4" s="22">
        <v>128</v>
      </c>
      <c r="C4" s="22">
        <v>3.359375</v>
      </c>
      <c r="D4" s="22">
        <v>2.1544108754999454</v>
      </c>
      <c r="E4" s="23">
        <f>_xlfn.CONFIDENCE.T(0.05,GETPIVOTDATA("Станд. откл.(s)",$A$3,"цель полета","бизнес"),GETPIVOTDATA("Выборка(n)",$A$3,"цель полета","бизнес"))</f>
        <v>0.37681634864448993</v>
      </c>
      <c r="F4" s="23">
        <f>GETPIVOTDATA("Среднее(x)",$A$3,"цель полета","бизнес")-E4</f>
        <v>2.98255865135551</v>
      </c>
      <c r="G4" s="48">
        <f>GETPIVOTDATA("Среднее(x)",$A$3,"цель полета","бизнес")+E4</f>
        <v>3.73619134864449</v>
      </c>
      <c r="I4" s="56" t="s">
        <v>27</v>
      </c>
      <c r="J4" s="15" t="s">
        <v>50</v>
      </c>
      <c r="K4" s="57" t="s">
        <v>54</v>
      </c>
    </row>
    <row r="5" spans="1:11" x14ac:dyDescent="0.35">
      <c r="A5" s="46" t="s">
        <v>8</v>
      </c>
      <c r="B5" s="22">
        <v>72</v>
      </c>
      <c r="C5" s="22">
        <v>3.1388888888888888</v>
      </c>
      <c r="D5" s="22">
        <v>1.8712468958496409</v>
      </c>
      <c r="E5" s="23">
        <f>_xlfn.CONFIDENCE.T(0.05,GETPIVOTDATA("Станд. откл.(s)",$A$3,"цель полета","личные цели"),GETPIVOTDATA("Выборка(n)",$A$3,"цель полета","личные цели"))</f>
        <v>0.43972146273298152</v>
      </c>
      <c r="F5" s="23">
        <f>GETPIVOTDATA("Среднее(x)",$A$3,"цель полета","личные цели")-E5</f>
        <v>2.6991674261559071</v>
      </c>
      <c r="G5" s="48">
        <f>GETPIVOTDATA("Среднее(x)",$A$3,"цель полета","личные цели")+E5</f>
        <v>3.5786103516218706</v>
      </c>
      <c r="I5" s="56" t="s">
        <v>45</v>
      </c>
      <c r="J5" s="15" t="s">
        <v>51</v>
      </c>
      <c r="K5" s="57" t="s">
        <v>51</v>
      </c>
    </row>
    <row r="6" spans="1:11" ht="15" thickBot="1" x14ac:dyDescent="0.4">
      <c r="A6" s="49" t="s">
        <v>14</v>
      </c>
      <c r="B6" s="50">
        <v>200</v>
      </c>
      <c r="C6" s="50">
        <v>3.28</v>
      </c>
      <c r="D6" s="50">
        <v>2.0549242243545618</v>
      </c>
      <c r="E6" s="51"/>
      <c r="F6" s="51"/>
      <c r="G6" s="52"/>
      <c r="I6" s="58" t="s">
        <v>46</v>
      </c>
      <c r="J6" s="59" t="s">
        <v>52</v>
      </c>
      <c r="K6" s="60" t="s">
        <v>55</v>
      </c>
    </row>
    <row r="7" spans="1:11" ht="15" thickBot="1" x14ac:dyDescent="0.4"/>
    <row r="8" spans="1:11" x14ac:dyDescent="0.35">
      <c r="A8" s="25" t="s">
        <v>13</v>
      </c>
      <c r="B8" s="26" t="s">
        <v>19</v>
      </c>
      <c r="C8" s="62" t="s">
        <v>70</v>
      </c>
      <c r="D8" s="64" t="s">
        <v>172</v>
      </c>
      <c r="E8" s="34"/>
      <c r="F8" s="63"/>
      <c r="G8" s="34"/>
      <c r="H8" s="35"/>
    </row>
    <row r="9" spans="1:11" x14ac:dyDescent="0.35">
      <c r="A9" s="27" t="s">
        <v>10</v>
      </c>
      <c r="B9" s="16">
        <v>50</v>
      </c>
      <c r="C9" s="28"/>
      <c r="D9" s="36" t="s">
        <v>67</v>
      </c>
      <c r="E9" s="24"/>
      <c r="F9" s="24"/>
      <c r="G9" s="24">
        <f>GETPIVOTDATA("пол",'Пол - Цель'!$A$3,"пол","женщина","цель полета","личные цели")/GETPIVOTDATA("пол",'Цель полета'!$A$8,"пол","женщина")</f>
        <v>0.4</v>
      </c>
      <c r="H9" s="37"/>
    </row>
    <row r="10" spans="1:11" x14ac:dyDescent="0.35">
      <c r="A10" s="27" t="s">
        <v>4</v>
      </c>
      <c r="B10" s="16">
        <v>150</v>
      </c>
      <c r="C10" s="28"/>
      <c r="D10" s="36" t="s">
        <v>44</v>
      </c>
      <c r="E10" s="24"/>
      <c r="F10" s="24"/>
      <c r="G10" s="24">
        <f>SQRT(G9 * (1 - G9) / B9)</f>
        <v>6.9282032302755092E-2</v>
      </c>
      <c r="H10" s="37"/>
    </row>
    <row r="11" spans="1:11" x14ac:dyDescent="0.35">
      <c r="A11" s="27" t="s">
        <v>14</v>
      </c>
      <c r="B11" s="16">
        <v>200</v>
      </c>
      <c r="C11" s="28"/>
      <c r="D11" s="36" t="s">
        <v>57</v>
      </c>
      <c r="E11" s="24">
        <v>1.96</v>
      </c>
      <c r="F11" s="24"/>
      <c r="G11" s="24"/>
      <c r="H11" s="37"/>
    </row>
    <row r="12" spans="1:11" x14ac:dyDescent="0.35">
      <c r="A12" s="29" t="s">
        <v>68</v>
      </c>
      <c r="B12" s="17"/>
      <c r="C12" s="28"/>
      <c r="D12" s="36" t="s">
        <v>69</v>
      </c>
      <c r="E12" s="24">
        <f>E11 * G10</f>
        <v>0.13579278331339997</v>
      </c>
      <c r="F12" s="24"/>
      <c r="G12" s="24"/>
      <c r="H12" s="37"/>
    </row>
    <row r="13" spans="1:11" x14ac:dyDescent="0.35">
      <c r="A13" s="30" t="s">
        <v>37</v>
      </c>
      <c r="B13" s="17">
        <f>GETPIVOTDATA("пол",$A$8,"пол","женщина")/GETPIVOTDATA("пол",$A$8)</f>
        <v>0.25</v>
      </c>
      <c r="C13" s="28"/>
      <c r="D13" s="36" t="s">
        <v>65</v>
      </c>
      <c r="E13" s="24"/>
      <c r="F13" s="24"/>
      <c r="G13" s="24"/>
      <c r="H13" s="37"/>
    </row>
    <row r="14" spans="1:11" x14ac:dyDescent="0.35">
      <c r="A14" s="30" t="s">
        <v>38</v>
      </c>
      <c r="B14" s="17"/>
      <c r="C14" s="28"/>
      <c r="D14" s="38">
        <f>G9</f>
        <v>0.4</v>
      </c>
      <c r="E14" s="24" t="s">
        <v>66</v>
      </c>
      <c r="F14" s="24">
        <f>E12</f>
        <v>0.13579278331339997</v>
      </c>
      <c r="G14" s="24"/>
      <c r="H14" s="37"/>
    </row>
    <row r="15" spans="1:11" x14ac:dyDescent="0.35">
      <c r="A15" s="29">
        <f>B13*GETPIVOTDATA("пол",$A$8)</f>
        <v>50</v>
      </c>
      <c r="B15" s="17" t="s">
        <v>39</v>
      </c>
      <c r="C15" s="28" t="s">
        <v>40</v>
      </c>
      <c r="D15" s="36">
        <f>D14-F14</f>
        <v>0.26420721668660008</v>
      </c>
      <c r="E15" s="24">
        <f>D14+F14</f>
        <v>0.53579278331339997</v>
      </c>
      <c r="F15" s="24"/>
      <c r="G15" s="24"/>
      <c r="H15" s="37"/>
    </row>
    <row r="16" spans="1:11" ht="15" thickBot="1" x14ac:dyDescent="0.4">
      <c r="A16" s="29">
        <f>GETPIVOTDATA("пол",$A$8)*(1-B13)</f>
        <v>150</v>
      </c>
      <c r="B16" s="17" t="s">
        <v>39</v>
      </c>
      <c r="C16" s="28" t="s">
        <v>41</v>
      </c>
      <c r="D16" s="39"/>
      <c r="E16" s="40"/>
      <c r="F16" s="40"/>
      <c r="G16" s="40"/>
      <c r="H16" s="41"/>
    </row>
    <row r="17" spans="1:3" x14ac:dyDescent="0.35">
      <c r="A17" s="29" t="s">
        <v>43</v>
      </c>
      <c r="B17" s="17"/>
      <c r="C17" s="28"/>
    </row>
    <row r="18" spans="1:3" x14ac:dyDescent="0.35">
      <c r="A18" s="29" t="s">
        <v>42</v>
      </c>
      <c r="B18" s="17"/>
      <c r="C18" s="28"/>
    </row>
    <row r="19" spans="1:3" x14ac:dyDescent="0.35">
      <c r="A19" s="29" t="s">
        <v>56</v>
      </c>
      <c r="B19" s="18">
        <f>SQRT(B13 * (1 - B13) / B11)</f>
        <v>3.0618621784789725E-2</v>
      </c>
      <c r="C19" s="28"/>
    </row>
    <row r="20" spans="1:3" x14ac:dyDescent="0.35">
      <c r="A20" s="29" t="s">
        <v>57</v>
      </c>
      <c r="B20" s="19">
        <v>1.96</v>
      </c>
      <c r="C20" s="28"/>
    </row>
    <row r="21" spans="1:3" x14ac:dyDescent="0.35">
      <c r="A21" s="29" t="s">
        <v>65</v>
      </c>
      <c r="B21" s="17"/>
      <c r="C21" s="28"/>
    </row>
    <row r="22" spans="1:3" x14ac:dyDescent="0.35">
      <c r="A22" s="29">
        <f>B13</f>
        <v>0.25</v>
      </c>
      <c r="B22" s="17" t="s">
        <v>66</v>
      </c>
      <c r="C22" s="28">
        <f>B20 * B19</f>
        <v>6.0012498698187859E-2</v>
      </c>
    </row>
    <row r="23" spans="1:3" x14ac:dyDescent="0.35">
      <c r="A23" s="29">
        <f>A22-C22</f>
        <v>0.18998750130181213</v>
      </c>
      <c r="B23" s="17">
        <f>A22+C22</f>
        <v>0.31001249869818787</v>
      </c>
      <c r="C23" s="28"/>
    </row>
    <row r="24" spans="1:3" ht="15" thickBot="1" x14ac:dyDescent="0.4">
      <c r="A24" s="31"/>
      <c r="B24" s="32"/>
      <c r="C24" s="33"/>
    </row>
    <row r="26" spans="1:3" x14ac:dyDescent="0.35">
      <c r="A26" s="14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C1A6-7642-421C-81F4-01F2511EE698}">
  <dimension ref="A3:D7"/>
  <sheetViews>
    <sheetView workbookViewId="0">
      <selection activeCell="A3" sqref="A3:D7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5" x14ac:dyDescent="0.35"/>
  <cols>
    <col min="1" max="1" width="19.81640625" bestFit="1" customWidth="1"/>
    <col min="2" max="2" width="20.81640625" bestFit="1" customWidth="1"/>
    <col min="3" max="3" width="13.26953125" bestFit="1" customWidth="1"/>
    <col min="4" max="4" width="11.81640625" bestFit="1" customWidth="1"/>
    <col min="5" max="5" width="15.54296875" customWidth="1"/>
    <col min="6" max="6" width="13.26953125" customWidth="1"/>
    <col min="7" max="7" width="18.81640625" customWidth="1"/>
  </cols>
  <sheetData>
    <row r="3" spans="1:4" x14ac:dyDescent="0.35">
      <c r="A3" s="6" t="s">
        <v>120</v>
      </c>
      <c r="B3" s="6" t="s">
        <v>15</v>
      </c>
    </row>
    <row r="4" spans="1:4" x14ac:dyDescent="0.35">
      <c r="A4" s="6" t="s">
        <v>13</v>
      </c>
      <c r="B4" t="s">
        <v>5</v>
      </c>
      <c r="C4" t="s">
        <v>8</v>
      </c>
      <c r="D4" t="s">
        <v>14</v>
      </c>
    </row>
    <row r="5" spans="1:4" x14ac:dyDescent="0.35">
      <c r="A5" s="7" t="s">
        <v>10</v>
      </c>
      <c r="B5">
        <v>30</v>
      </c>
      <c r="C5">
        <v>20</v>
      </c>
      <c r="D5">
        <v>50</v>
      </c>
    </row>
    <row r="6" spans="1:4" x14ac:dyDescent="0.35">
      <c r="A6" s="7" t="s">
        <v>4</v>
      </c>
      <c r="B6">
        <v>98</v>
      </c>
      <c r="C6">
        <v>52</v>
      </c>
      <c r="D6">
        <v>150</v>
      </c>
    </row>
    <row r="7" spans="1:4" x14ac:dyDescent="0.35">
      <c r="A7" s="7" t="s">
        <v>14</v>
      </c>
      <c r="B7">
        <v>128</v>
      </c>
      <c r="C7">
        <v>72</v>
      </c>
      <c r="D7">
        <v>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89FA-3ABA-40D4-9860-6CB9190DC814}">
  <dimension ref="A3:E7"/>
  <sheetViews>
    <sheetView workbookViewId="0">
      <selection activeCell="A3" sqref="A3:E7"/>
    </sheetView>
  </sheetViews>
  <sheetFormatPr defaultRowHeight="14.5" x14ac:dyDescent="0.35"/>
  <cols>
    <col min="1" max="1" width="18.7265625" bestFit="1" customWidth="1"/>
    <col min="2" max="2" width="20.1796875" bestFit="1" customWidth="1"/>
    <col min="3" max="3" width="8.54296875" bestFit="1" customWidth="1"/>
    <col min="4" max="4" width="14" bestFit="1" customWidth="1"/>
    <col min="5" max="5" width="11.1796875" bestFit="1" customWidth="1"/>
    <col min="6" max="6" width="24" bestFit="1" customWidth="1"/>
    <col min="7" max="7" width="23.1796875" bestFit="1" customWidth="1"/>
    <col min="8" max="8" width="28.7265625" bestFit="1" customWidth="1"/>
    <col min="9" max="9" width="27.81640625" bestFit="1" customWidth="1"/>
  </cols>
  <sheetData>
    <row r="3" spans="1:5" x14ac:dyDescent="0.35">
      <c r="A3" s="6" t="s">
        <v>120</v>
      </c>
      <c r="B3" s="6" t="s">
        <v>15</v>
      </c>
    </row>
    <row r="4" spans="1:5" x14ac:dyDescent="0.35">
      <c r="A4" s="6" t="s">
        <v>13</v>
      </c>
      <c r="B4" t="s">
        <v>7</v>
      </c>
      <c r="C4" t="s">
        <v>9</v>
      </c>
      <c r="D4" t="s">
        <v>6</v>
      </c>
      <c r="E4" t="s">
        <v>14</v>
      </c>
    </row>
    <row r="5" spans="1:5" x14ac:dyDescent="0.35">
      <c r="A5" s="7" t="s">
        <v>10</v>
      </c>
      <c r="B5">
        <v>30</v>
      </c>
      <c r="C5">
        <v>10</v>
      </c>
      <c r="D5">
        <v>10</v>
      </c>
      <c r="E5">
        <v>50</v>
      </c>
    </row>
    <row r="6" spans="1:5" x14ac:dyDescent="0.35">
      <c r="A6" s="7" t="s">
        <v>4</v>
      </c>
      <c r="B6">
        <v>46</v>
      </c>
      <c r="C6">
        <v>36</v>
      </c>
      <c r="D6">
        <v>68</v>
      </c>
      <c r="E6">
        <v>150</v>
      </c>
    </row>
    <row r="7" spans="1:5" x14ac:dyDescent="0.35">
      <c r="A7" s="7" t="s">
        <v>14</v>
      </c>
      <c r="B7">
        <v>76</v>
      </c>
      <c r="C7">
        <v>46</v>
      </c>
      <c r="D7">
        <v>78</v>
      </c>
      <c r="E7">
        <v>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59F5-3A68-41C5-AAAF-06B04B6008D6}">
  <dimension ref="A3:E7"/>
  <sheetViews>
    <sheetView workbookViewId="0">
      <selection activeCell="A3" sqref="A3:E7"/>
    </sheetView>
  </sheetViews>
  <sheetFormatPr defaultRowHeight="14.5" x14ac:dyDescent="0.35"/>
  <cols>
    <col min="1" max="1" width="19.81640625" bestFit="1" customWidth="1"/>
    <col min="2" max="2" width="20.81640625" bestFit="1" customWidth="1"/>
    <col min="3" max="3" width="9" bestFit="1" customWidth="1"/>
    <col min="4" max="4" width="14.7265625" bestFit="1" customWidth="1"/>
    <col min="5" max="5" width="11.81640625" bestFit="1" customWidth="1"/>
    <col min="6" max="6" width="19.81640625" bestFit="1" customWidth="1"/>
    <col min="7" max="7" width="20.7265625" customWidth="1"/>
    <col min="8" max="8" width="24.54296875" bestFit="1" customWidth="1"/>
    <col min="9" max="9" width="23" customWidth="1"/>
  </cols>
  <sheetData>
    <row r="3" spans="1:5" x14ac:dyDescent="0.35">
      <c r="A3" s="6" t="s">
        <v>120</v>
      </c>
      <c r="B3" s="6" t="s">
        <v>15</v>
      </c>
    </row>
    <row r="4" spans="1:5" x14ac:dyDescent="0.35">
      <c r="A4" s="6" t="s">
        <v>13</v>
      </c>
      <c r="B4" t="s">
        <v>7</v>
      </c>
      <c r="C4" t="s">
        <v>9</v>
      </c>
      <c r="D4" t="s">
        <v>6</v>
      </c>
      <c r="E4" t="s">
        <v>14</v>
      </c>
    </row>
    <row r="5" spans="1:5" x14ac:dyDescent="0.35">
      <c r="A5" s="7" t="s">
        <v>5</v>
      </c>
      <c r="B5">
        <v>48</v>
      </c>
      <c r="C5">
        <v>26</v>
      </c>
      <c r="D5">
        <v>54</v>
      </c>
      <c r="E5">
        <v>128</v>
      </c>
    </row>
    <row r="6" spans="1:5" x14ac:dyDescent="0.35">
      <c r="A6" s="7" t="s">
        <v>8</v>
      </c>
      <c r="B6">
        <v>28</v>
      </c>
      <c r="C6">
        <v>20</v>
      </c>
      <c r="D6">
        <v>24</v>
      </c>
      <c r="E6">
        <v>72</v>
      </c>
    </row>
    <row r="7" spans="1:5" x14ac:dyDescent="0.35">
      <c r="A7" s="7" t="s">
        <v>14</v>
      </c>
      <c r="B7">
        <v>76</v>
      </c>
      <c r="C7">
        <v>46</v>
      </c>
      <c r="D7">
        <v>78</v>
      </c>
      <c r="E7">
        <v>200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Регрессия</vt:lpstr>
      <vt:lpstr>Данные</vt:lpstr>
      <vt:lpstr>Гипотезы</vt:lpstr>
      <vt:lpstr>Цель полета</vt:lpstr>
      <vt:lpstr>Пол - Цель</vt:lpstr>
      <vt:lpstr>Пол - Характеристика</vt:lpstr>
      <vt:lpstr>Цель - Характеристика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p108_01</dc:creator>
  <cp:lastModifiedBy>Дина Бадалян</cp:lastModifiedBy>
  <dcterms:created xsi:type="dcterms:W3CDTF">2022-05-05T10:51:33Z</dcterms:created>
  <dcterms:modified xsi:type="dcterms:W3CDTF">2026-08-27T11:58:54Z</dcterms:modified>
</cp:coreProperties>
</file>